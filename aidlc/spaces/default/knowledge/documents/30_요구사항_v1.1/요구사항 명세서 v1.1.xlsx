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약" sheetId="1" r:id="rId5"/>
    <sheet state="visible" name="요구사항" sheetId="2" r:id="rId6"/>
    <sheet state="visible" name="화면" sheetId="3" r:id="rId7"/>
    <sheet state="visible" name="공통규칙" sheetId="4" r:id="rId8"/>
    <sheet state="visible" name="라벨정의" sheetId="5" r:id="rId9"/>
    <sheet state="visible" name="제외·이관" sheetId="6" r:id="rId10"/>
    <sheet state="visible" name="변경이력" sheetId="7" r:id="rId11"/>
  </sheets>
  <definedNames>
    <definedName hidden="1" localSheetId="1" name="_xlnm._FilterDatabase">'요구사항'!$A$1:$J$67</definedName>
    <definedName hidden="1" localSheetId="3" name="_xlnm._FilterDatabase">'공통규칙'!$A$1:$E$108</definedName>
  </definedNames>
  <calcPr/>
</workbook>
</file>

<file path=xl/sharedStrings.xml><?xml version="1.0" encoding="utf-8"?>
<sst xmlns="http://schemas.openxmlformats.org/spreadsheetml/2006/main" count="1962" uniqueCount="1265">
  <si>
    <t>ID</t>
  </si>
  <si>
    <t>요구사항 ID</t>
  </si>
  <si>
    <t>요구사항 명세서 v1.1 요약</t>
  </si>
  <si>
    <t>구분</t>
  </si>
  <si>
    <t>화면명</t>
  </si>
  <si>
    <t>항목</t>
  </si>
  <si>
    <t>규칙</t>
  </si>
  <si>
    <t>표시·동작 기준 / 추가 결정</t>
  </si>
  <si>
    <t>기존 시안(v0.3-)</t>
  </si>
  <si>
    <t>원문 위치</t>
  </si>
  <si>
    <t>관련 FR</t>
  </si>
  <si>
    <t>상태·변형</t>
  </si>
  <si>
    <t>허용 동작·제약</t>
  </si>
  <si>
    <t>연결 요구사항 수</t>
  </si>
  <si>
    <t>시안 수정 필요 사항</t>
  </si>
  <si>
    <t>01</t>
  </si>
  <si>
    <t>상태의 의미</t>
  </si>
  <si>
    <t>보호자 소셜 로그인</t>
  </si>
  <si>
    <t>시작 전 준비</t>
  </si>
  <si>
    <t>v0.8.2를 기준으로 아동 서비스·보호자 서버 분리 구조(2-Spring 아키텍처 v0.4)를 반영하고, v1.0에서 결정했으나 v0.8.2에 빠졌던 항목을 복원했다. 팀 결정이 필요한 항목은 v0.8.2의 내용을 유지한다.</t>
  </si>
  <si>
    <t>보호자가 입력·목표를 확인하며 아직 시작 요청하지 않음</t>
  </si>
  <si>
    <t>10(자유대화)·20(연습). 시작/준비 취소. FR-A06에 따른 기기 연결 준비 또는 이전 활동의 기기 종료 여부가 확인되지 않으면 새 시작을 차단한다. 오래된 상태를 현재 준비 완료로 쓰지 않는다. 준비 판정 시간은 ADR.</t>
  </si>
  <si>
    <t>영역</t>
  </si>
  <si>
    <t>요구사항명</t>
  </si>
  <si>
    <t>기능 묶음</t>
  </si>
  <si>
    <t>FR-A01, FR-A04</t>
  </si>
  <si>
    <t>우선순위</t>
  </si>
  <si>
    <t>관련 화면</t>
  </si>
  <si>
    <t>관련 행동·요구사항</t>
  </si>
  <si>
    <t>상세</t>
  </si>
  <si>
    <t>완료 기준</t>
  </si>
  <si>
    <t>v1.1 구조 결정 (2-Spring v0.4)</t>
  </si>
  <si>
    <t>카카오 / 네이버 / 구글 / 인증 취소·실패</t>
  </si>
  <si>
    <t>시작 안내 중(preparing)</t>
  </si>
  <si>
    <t>시작 요청의 서버 수락과 기기의 실제 안내 실행을 분리한다. 서버 수락 후 기기 실행이 확인되기 전에는 시작 요청됨·실행 확인 중 상태다.</t>
  </si>
  <si>
    <t>3개 소셜 로그인만 제공. 취소·실패 시 재시도. 자체 회원가입·아이디/비밀번호 로그인 없음</t>
  </si>
  <si>
    <t>11(자유대화·연습 공통). 기기 실행 확인 후 안내·참여 확인 중으로 표시한다. 응답 미수신을 시작 성공·아동 미참여로 표시하지 않고 중복 시작을 막는다. 시작 전 준비(10·20)와 구분한다.</t>
  </si>
  <si>
    <t>FR-A01</t>
  </si>
  <si>
    <t>v0.8.2 보완 (요청 검증)</t>
  </si>
  <si>
    <t>진행 중(active)</t>
  </si>
  <si>
    <t>기기에서 자유대화 또는 연습이 실제 진행되는 상태. 부모 앱 접속 여부와 별도로 관리한다.</t>
  </si>
  <si>
    <t>12(자유대화)·21(연습). 연습은 확인된 현재 단계도 표시. 원문·실시간 자막·다음 질문·다음 단계·마이크 버튼 없음. 부모 앱 조회 불가는 활동 중단으로 바꾸지 않는다. 13 아동 쉬기는 적용 결정 필요이며 기술적 일시 정지는 12·21의 상태 변형으로 표시.</t>
  </si>
  <si>
    <t>v0.8.2 사용자 요청</t>
  </si>
  <si>
    <t>비정상 단절(진행 중 상태)</t>
  </si>
  <si>
    <t>기기 연결·음성 모델 연결이 정상이고 활동 진행 중 실제 오디오 공백의 연속성을 확인할 수 있을 때만 연속 4분 공백을 비정상 단절로 표시한다. 추가 대기 중에는 종료 미확정 상태다.</t>
  </si>
  <si>
    <t>12·21에서 공백 상태로 표시하며 원인을 추정하지 않는다. 장애·상태 미확인·기술적 일시 정지·아동 쉬기 시간은 이 공백에 합산하지 않는다. 4분+추가 약 2분을 연결 장애 시간 기준으로 사용하지 않는다. FR-F18.</t>
  </si>
  <si>
    <t>종료 처리 중(ending)</t>
  </si>
  <si>
    <t>종료 요청 또는 아동 종료 의도 확인 후 아동 서비스가 마무리 문구 재생·출력 중지·음성 모델 세션 종료를 진행하는 상태. 종료 확인 전까지 유지한다.</t>
  </si>
  <si>
    <t>FR</t>
  </si>
  <si>
    <t>12(자유대화)·21(연습)의 상태 변형으로 표시한다. 새 대화 응답을 생성·재생하지 않고 새 활동 시작을 막는다. 종료 확인 후 종료 안내(16·17·23·24)로 전환하며 종료 확인 미수신은 종료 확인 안 됨으로 표시한다. FR-B07·E10·F01.</t>
  </si>
  <si>
    <t>활동 종료</t>
  </si>
  <si>
    <t>정상 마무리·미참여·아동/보호자 중단·확인된 기술 문제·검증된 오디오 공백 지속으로 활동 종료가 확정된 상태. 종료 요청과 기기 종료 확인은 별도다.</t>
  </si>
  <si>
    <t>14의 보호자 종료 확인은 요청 의사 확인이다. 기기의 종료 확인을 받기 전에는 종료 완료로 표시하지 않는다. 자동 종료의 기기 확인·증빙도 동일하게 구분한다. 확인 시 16·24 등 사유별 종료 화면으로 연결하고 종료 버튼을 제거. 미확인은 기존 화면의 종료 요청됨/종료 확인 안 됨 상태로 표시.</t>
  </si>
  <si>
    <t>결과 준비 중(result_pending)</t>
  </si>
  <si>
    <t>활동은 끝났으나 기록 상세에 제공할 결과가 생성 중인 상태. 활동 종료와 결과 준비 여부는 별도로 관리</t>
  </si>
  <si>
    <t>A 계정·동의·기기</t>
  </si>
  <si>
    <t>22(연습 기록 정리). 자유대화 종료 안내·기록 상세에서도 준비 상태 표시. 종료·다시 시작 버튼 없음. 생성 실패 시 보호자가 다시 요청(FR-F17)</t>
  </si>
  <si>
    <t>7.1</t>
  </si>
  <si>
    <t>결과 준비됨</t>
  </si>
  <si>
    <t>전체/부분 결과 또는 자료 부족 안내를 기록 상세에서 확인 가능한 상태</t>
  </si>
  <si>
    <t>17·23은 종료 안내를 유지하며 기록 보기 버튼으로 27에 진입. 결과가 준비되었다는 이유로 상세 결과를 자동 표시하거나 27로 자동 이동하지 않음</t>
  </si>
  <si>
    <t>연결 정의 · 확정 요구</t>
  </si>
  <si>
    <t>연결 상태</t>
  </si>
  <si>
    <t>기기 연결 / 음성 모델 연결 / 부모 앱 연결의 상태를 구분한다. 음성 대화 연결은 기기 연결과 음성 모델 연결을 합친 음성 경로를 뜻하며, 그 장애(음성 대화 장애)는 두 연결의 끝점인 아동 서비스가 직접 확인한다.</t>
  </si>
  <si>
    <t>04·05·06·10·20과 활동 상태에서 문제가 있는 대상을 명시한다. 보호자 서버가 아동 서비스의 상태를 받지 못하는 것은 연결 장애가 아니라 기기 상태 확인 불가로 표시한다. 확인 불가를 연결 장애 확정으로 바꾸지 않는다. 판정 시간·상태 유효시간은 ADR.</t>
  </si>
  <si>
    <t>01 계정·아동·홈</t>
  </si>
  <si>
    <t>목표 저장</t>
  </si>
  <si>
    <t>목표 선택·저장은 활동 상태가 아니다. 18·19에서 목표를 선택해도 기기에서 연습이 시작되지 않는다.</t>
  </si>
  <si>
    <t>20에서 선택 목표 확인 후 별도 시작 요청. FR-C02·C05·F01</t>
  </si>
  <si>
    <t>활동 시작</t>
  </si>
  <si>
    <t>활동 시작 조건</t>
  </si>
  <si>
    <t>Must</t>
  </si>
  <si>
    <t>아동 기기의 기기 연결 준비가 확인되고(FR-A06) 필수 동의가 있으며(FR-A03) 진행 중인 활동이 없을 때만 시작 요청을 받는다. 요청 중 중복 제출 방지, 요청 전 준비 취소는 기기에 시작 요청을 보내지 않는다. 시작 요청이 수락된 뒤 아이가 참여하기 전에는 보호자가 준비를 취소할 수 있으며, 이때는 준비 취소 사실과 시각만 남기고 대화 내용은 저장하지 않는다. 자유대화 목적·배경 정보·생활 녹음은 시작 필수가 아니다.</t>
  </si>
  <si>
    <t>시작 요청 전송·서버 수락·기기 시작 확인을 구분한다. 응답 미수신을 성공으로 표시하지 않는다. 기기 연결 준비 또는 이전 활동의 기기 종료 여부가 미확인이면 새 시작을 차단한다. 준비 판정 시간·상태 유효시간은 ADR. 자유대화 선행 없이 지원 목표로 연습 가능. FR-B05·C05·F01.</t>
  </si>
  <si>
    <t>P-01</t>
  </si>
  <si>
    <t>v1.1 v1.0 결정 복원</t>
  </si>
  <si>
    <t>보호자는 카카오·네이버·구글 중 하나의 소셜 계정으로만 로그인하고 서비스에서 로그아웃할 수 있다. 자체 회원가입과 자체 아이디·비밀번호 로그인은 제공하지 않는다. 로그인 상태가 유효하면 다시 접속할 때 로그인을 다시 요구하지 않는다. 아동용·전문가용 로그인은 두지 않는다. 소셜 로그인 취소·실패 시 인증되지 않은 상태를 유지하고 다시 시도할 수 있다.</t>
  </si>
  <si>
    <t>종료·결과 3축</t>
  </si>
  <si>
    <t>로그인 화면에는 카카오·네이버·구글 소셜 로그인만 제공되고 자체 회원가입·아이디/비밀번호 입력 경로가 없다. 유효한 로그인 상태에서는 재접속 시 다시 로그인하지 않는다. 인증 성공 후 해당 보호자 데이터에만 접근하며 실패·취소를 로그인 완료로 표시하지 않는다.</t>
  </si>
  <si>
    <t>종료 사유</t>
  </si>
  <si>
    <t>정상 마무리 / 시작 전 아동 미참여 / 아동 중단 / 보호자 중단 / 기술 문제 / 비정상 오디오 공백 지속(자동 종료)</t>
  </si>
  <si>
    <t>종료가 확인된 경우 실제 사유를 기록한다. 부모 앱만 오프라인인 상황은 아동 활동 종료 사유에서 제외한다. 침묵·상태 미확인만으로 기술 장애·참여 거부·능력 부족을 확정하지 않는다.</t>
  </si>
  <si>
    <t>FR-A02</t>
  </si>
  <si>
    <t>결과 상태</t>
  </si>
  <si>
    <t>준비 중 / 전체 결과 / 부분 결과 / 자료 부족·결과 없음 / 생성 실패</t>
  </si>
  <si>
    <t>제공 가능한 기록 범위를 표현. 종료 안내와 별도로 27에서 상세 확인. 생성 실패 시 다시 요청(FR-F17)</t>
  </si>
  <si>
    <t>아동 등록·정보 수정·선택</t>
  </si>
  <si>
    <t>부족·미실시 사유</t>
  </si>
  <si>
    <t>기존 7개 시트·66개 요구사항 ID·우선순위와 자유대화/연습/기록 흐름을 유지한다. 01~30 번호에서 기존 상태 변형을 활용하며 독립 화면을 추가하지 않는다.</t>
  </si>
  <si>
    <t>02</t>
  </si>
  <si>
    <t>관련 경험 미확인 / 판독 불가 / 해당 단계 미실시 등</t>
  </si>
  <si>
    <t>P-02, FR-F01</t>
  </si>
  <si>
    <t>확인하지 못한 내용을 표시. 종료 사유를 대체하지 않음</t>
  </si>
  <si>
    <t>7.2</t>
  </si>
  <si>
    <t>처음 아동을 등록할 때 이름 또는 별명, 연령, 관심사를 입력하고 등록 전 확인 단계에서 정보를 수정할 수 있다. 등록한 뒤에도 아동 선택·정보 화면(02)의 정보 수정으로 같은 항목을 수정·저장하거나 취소할 수 있다. 진단명·검사 결과는 받지 않는다. 활동 대상 아동을 선택하며 정보 수정은 동일한 아동 프로필에 적용한다.</t>
  </si>
  <si>
    <t>최초 등록 과정에서 입력 정보를 수정해 저장할 수 있고 등록 후에도 정보 수정이 가능하다. 취소·저장 실패 시 기존 정보가 유지되고 성공한 수정만 표시된다. 정보 수정으로 아동이 중복 등록되거나 기존 활동·기록의 대상 아동이 바뀌지 않는다.</t>
  </si>
  <si>
    <t>상황별 기록 범위</t>
  </si>
  <si>
    <t>요구사항에서 ID별 완료 기준을 확인한다. 공통규칙에는 확정 구조, 연결별 처리, 결정 완료·ADR 값·결정 필요(D-CON), 상황별 검수 기준(AC-CON)을 구분했다.</t>
  </si>
  <si>
    <t>FR-A03</t>
  </si>
  <si>
    <t>시작 전 아동 미참여</t>
  </si>
  <si>
    <t>소셜 로그인 전용으로 복원</t>
  </si>
  <si>
    <t>종료 사실·시각만 보존. 대화·연습 결과 없음. 거부 발화 원문 미저장</t>
  </si>
  <si>
    <t>15(자유대화·연습 공통)와 26에는 종료 사실·시각만 표시. 대화 인용·결과·추천 목표·인용 상세 없음</t>
  </si>
  <si>
    <t>기록·열람·공유 동의</t>
  </si>
  <si>
    <t>첫 등록 / 입력 확인·수정 / 등록 후 편집 / 저장 실패</t>
  </si>
  <si>
    <t>자유대화 도중 중단</t>
  </si>
  <si>
    <t>02 동의·고지·삭제</t>
  </si>
  <si>
    <t>이름 또는 별명·연령·관심사 입력 및 수정. 저장·취소. 동일 아동의 기존 활동·기록 연결 유지</t>
  </si>
  <si>
    <t>종료가 확인되면 확보된 기록을 보존. 16에는 확인된 종료 사유·기록 유무, 27에는 실제 확보된 기록 범위·미확인 내용을 표시한다.</t>
  </si>
  <si>
    <t>03, 09, 10, 20</t>
  </si>
  <si>
    <t>공백 자동 종료도 같은 원칙. 종료 확인이 없으면 종료 요청/확인 상태를 유지한다. 미수신 기록을 전부 저장된 것으로 표시하지 않으며 기록 수신 완료 여부와 실제 확보 범위를 구분한다. 기록이 있을 때만 기록 보기 제공.</t>
  </si>
  <si>
    <t>P-23</t>
  </si>
  <si>
    <t>음성 수집(전사를 위한 처리)과 전사 저장(필수), 보호자 열람(필수), 리포트 생성·외부 전달(선택), 원음 보관(선택)을 항목별로 동의한다. 필수 동의 없이는 활동을 시작할 수 없다. 생활 대화 녹음 첨부의 수집·이용 및 제3자 음성 동의 조건은 공통규칙 생활 녹음의 선택적 참고 자료 추가 항목을 따른다. 녹음 미첨부는 필수 동의나 시작 조건을 추가하지 않는다.</t>
  </si>
  <si>
    <t>항목별 동의 상태가 저장된다. 필수 미동의 시 시작 버튼이 비활성화된다. 동의 범위 밖의 수집·저장·이용이 없다.</t>
  </si>
  <si>
    <t>연습 도중 중단</t>
  </si>
  <si>
    <t>FR-A04</t>
  </si>
  <si>
    <t>종료가 확인되면 확보된 기록을 보존. 24에는 확인된 종료 사유·기록된 단계 존재 여부, 27에는 실제 수행 확인 단계·미실시·미확인을 표시한다.</t>
  </si>
  <si>
    <t>기술 문제·오디오 공백 종료·상태 미확인을 행동 실패로 바꾸지 않는다. 종료 확인이 없으면 종료 요청/확인 상태를 유지한다. 상세 단계 결과는 종료 안내에 직접 표시하지 않음.</t>
  </si>
  <si>
    <t>AI 서비스 사전 고지</t>
  </si>
  <si>
    <t>관련 경험 미확인</t>
  </si>
  <si>
    <t>미확인 사실을 표시. 근거가 부족한 기록에서 개인화 추천을 만들어내지 않음</t>
  </si>
  <si>
    <t>1. 전체 규모</t>
  </si>
  <si>
    <t>기록 근거가 부족해도 연령 기반 Library 목표와 다른 지원 목표를 선택할 수 있음. 연령 기반 대안은 해당 기록에 근거한 추천처럼 표시하지 않음</t>
  </si>
  <si>
    <t>01, 03</t>
  </si>
  <si>
    <t>생성형 AI 기반 서비스임을 소셜 로그인·최초 동의 화면과 이용약관에 사전 고지한다. 아동에게는 기기의 시작 안내(FR-E01)로 알린다.</t>
  </si>
  <si>
    <t>고지 문구가 소셜 로그인·최초 동의 화면에 표시된다. 아동 대상 고지는 FR-E01을 따른다.</t>
  </si>
  <si>
    <t>기술 문제</t>
  </si>
  <si>
    <t>FR-A05</t>
  </si>
  <si>
    <t>기술 문제의 확인 근거, 종료 확인 여부, 확보한 기록 범위·결과 준비 상태를 서로 구분한다.</t>
  </si>
  <si>
    <t>아동 서비스가 음성 대화 장애(기기 연결·음성 모델 연결)를 확인하면 기술적 일시 정지·복구 시도. 보호자 서버의 상태 미수신만으로 대화 중단을 단정하지 않는다. 복구 실패/복원 불가 시 아동 서비스가 종료 처리하며 종료 미확인은 완료로 표시하지 않는다. 고정 안내는 기술적으로 가능하나 제공 여부·문구·횟수는 결정 필요. 종료 요청 중·종료 확정 세션은 복구만으로 재개하지 않는다.</t>
  </si>
  <si>
    <t>보호자 안내 문구 제공</t>
  </si>
  <si>
    <t>Should</t>
  </si>
  <si>
    <t>동시 표현</t>
  </si>
  <si>
    <t>03</t>
  </si>
  <si>
    <t>예: 아동 중단 + 부분 결과 + 관련 경험 미확인을 동시에 표현할 수 있다. 각 축의 정보로부터 다른 축을 일괄 추정하지 않는다.</t>
  </si>
  <si>
    <t>개수</t>
  </si>
  <si>
    <t>첫 이용 전 보호자가 아이에게 직접 설명할 짧은 문구(AI와 이야기한다, 보호자가 나중에 볼 수 있다)를 보여준다.</t>
  </si>
  <si>
    <t>-</t>
  </si>
  <si>
    <t>동의 완료 후 안내 문구가 1회 표시된다.</t>
  </si>
  <si>
    <t>설명</t>
  </si>
  <si>
    <t>연습 분기</t>
  </si>
  <si>
    <t>FR-A06</t>
  </si>
  <si>
    <t>첫 반응 전</t>
  </si>
  <si>
    <t>목표 Cue·정답·시범 금지. 같은 말 반복만 허용</t>
  </si>
  <si>
    <t>목표는 18·19에서 보호자가 선택한 지원 목표. FR-F19 Library 또는 전체 연습 흐름의 지원 조건을 갖춘 기록 기반 개인화 목표</t>
  </si>
  <si>
    <t>최초 등록 단계와 등록 후 정보 수정 모두 제공</t>
  </si>
  <si>
    <t>7.3</t>
  </si>
  <si>
    <t>기기 연결·상태 확인</t>
  </si>
  <si>
    <t>기록·동의 안내</t>
  </si>
  <si>
    <t>03 활동 시작·상태·종료</t>
  </si>
  <si>
    <t>FR-A03, FR-A04, FR-A05, FR-A08</t>
  </si>
  <si>
    <t>첫 반응에 목표 행동이 나타남</t>
  </si>
  <si>
    <t>첫 동의 / 동의·기록 관리 / 철회·삭제 확인</t>
  </si>
  <si>
    <t>불필요한 도움·재시도를 강제하지 않음. 새 상황으로 진행</t>
  </si>
  <si>
    <t>04, 05, 06, 10, 12, 20, 21</t>
  </si>
  <si>
    <t>필수 동의 미충족 시 시작 불가. 동의 변경·삭제 대상과 영향 확인</t>
  </si>
  <si>
    <t>P-24, FR-E11, FR-F01, FR-F18, FR-A10</t>
  </si>
  <si>
    <t>[확정 구조] 아동 기기는 아동 서비스와 하나의 기기 연결만 유지하며 음성·활동 상태·시작/종료 명령을 이 연결로 주고받는다. GPT Live와의 음성 교환은 아동 서비스가 서버 간 음성 모델 연결로 중계하며 아동 기기가 GPT Live에 직접 연결하지 않는다. 부모 앱은 보호자 서버와의 부모 앱 연결로 조회·조작하고, 아동 서비스는 활동 상태·기록을 보호자 서버에 전달한다. 아동 기기는 보호자 서버가 활동별로 발급한 세션 토큰으로만 해당 활동에 참여하며 기기 검색·등록·페어링·일회용 코드 입력은 두지 않는다. 부모 앱 실행·부모 휴대폰 인터넷 연결 여부와 무관하게 기기 연결과 음성 모델 연결이 정상이면 활동·기록을 유지한다. 04·05·06·10·20과 진행 화면에서 기기 연결·음성 모델 연결·부모 앱 연결의 정상·장애와 보호자 서버의 상태 미수신(“기기 상태 확인 불가”)을 구분하며, “연결됨”은 해당 아동 기기의 기기 연결이 실제로 유지되는 동안만 표시한다. 새 활동은 기기 연결 준비와 기존 활동의 종료 확인이 있어야 시작한다. 원인 불명 시 단독 “연결 끊김” 표시는 쓰지 않는다. 보호자 스마트폰으로 아동 대화를 대신하는 방식은 두지 않는다. [ADR] 연결 상태 판정 시간, 상태 정보 유효시간, 세션 토큰 발급 시점·전달 방식(링크·QR 등)·만료.</t>
  </si>
  <si>
    <t>첫 반응에 목표 행동이 나타나지 않음</t>
  </si>
  <si>
    <t>도움 동의를 구하고 동의 시 실시간 생성 도움 후 재시도 1회. 정답 문장 금지</t>
  </si>
  <si>
    <t>기기 연결 장애, 음성 모델 연결 장애, 부모 앱 연결 장애, 보호자 서버의 아동 서비스 상태 미수신을 각각 주입하면 해당 대상과 확인 수준이 구분되어 표시된다. 부모 앱만 오프라인일 때 기기 연결·음성 모델 연결이 정상이면 활동·기록이 지속되고 앱에는 마지막 확인 시각·상태가 표시된다. 세션 토큰이 없거나 만료·종료된 세션의 토큰으로는 활동에 참여할 수 없고, 기기 검색·등록·페어링 화면이 없다. “연결됨”은 기기 연결이 유지되는 동안만 표시된다. 기기 연결 준비 미확인·기존 세션 종료 미확인 시 새 활동을 허용하지 않는다.</t>
  </si>
  <si>
    <t>FR-A07</t>
  </si>
  <si>
    <t>판정 불확실·판독 불가</t>
  </si>
  <si>
    <t>전체 요구사항</t>
  </si>
  <si>
    <t>홈</t>
  </si>
  <si>
    <t>확정 실패로 기록하지 않고 보류로 기록한 뒤 새 상황으로 진행</t>
  </si>
  <si>
    <t>04</t>
  </si>
  <si>
    <t>도움만 거절</t>
  </si>
  <si>
    <t>P-03</t>
  </si>
  <si>
    <t>거절한 도움을 강제로 진행하지 않고 새 상황으로 진행</t>
  </si>
  <si>
    <t>아동 이름, 연결 대상별 기기 상태 카드, 자유대화·연습 메뉴, 최근 기록, 동의·기록 관리와 아동 정보 수정(02) 진입점을 보여준다. 홈의 선택 아동 기기 카드에서 종료 표현 설정(SET-01, 시안 T20)으로 이동한다. 하단 메뉴는 홈·자유대화·연습·기록으로 구성한다. 활동 진행 중에는 새 활동 시작 대신 해당 세션의 현재 상태(11·12·21)로 이동한다. 부모 앱 연결 장애 시 “실시간 상태를 불러오지 못하고 있어요”와 마지막 확인 시각·상태를 표시하고 이를 현재 활동 상태로 단정하지 않는다. 앱 닫힘 자체는 장애·종료 요청이 아니다.</t>
  </si>
  <si>
    <t>홈에서 아동 정보 수정·동의 관리·종료 표현 설정에 진입한다. 재진입 시 최신 세션을 조회해 진행·기술적 일시 정지·종료 확인 상태를 반영하고 조회 실패 시 마지막 확인 시각을 유지한다. 종료 확인 없는 세션을 종료 완료로 표시하지 않는다.</t>
  </si>
  <si>
    <t>FR-A08</t>
  </si>
  <si>
    <t>종료 의사와 제외된 제어 기능</t>
  </si>
  <si>
    <t>아동은 어느 단계에서든 종료 의사를 표현할 수 있으며 FR-E05에 따라 의도를 구분한다. 쉬고 싶다는 말 자체를 종료 의도로 단정하지 않는다. 미실시를 실패로 바꾸지 않는다.</t>
  </si>
  <si>
    <t>데이터 삭제·동의 철회</t>
  </si>
  <si>
    <t>T20 종료 표현 설정은 유지. 아동 쉬기는 기술적 일시 정지와 다른 의미이며 13의 적용 여부·제어 방식은 결정 필요다. 이 보완만으로 쉬기·건너뛰기·재개 제어를 추가 확정하지 않는다. 공백 가드레일은 검증 가능한 적용 범위에서만 사용한다.</t>
  </si>
  <si>
    <t>무응답</t>
  </si>
  <si>
    <t>무응답 자체를 참여 거부나 능력 부족으로 단정하지 않는다. 연결·마이크·AI 지연 등으로 반응 확인이 불가능한 경우는 아동 무응답과 구분한다.</t>
  </si>
  <si>
    <t>홈의 '동의·기록 관리'에서 동의 항목을 변경하거나 기록 삭제를 요청한다. 필수 동의 철회는 별도 확인 후 진행 중인 활동을 종료하고 이후 수집·이용을 중단한다. 삭제는 대상(원음·전사·리포트) 선택 → 영향 안내 → 삭제 확인 순서로 진행한다. 기록을 삭제하면 그 기록에서 만든 추천·요약·리포트도 함께 삭제한다. 철회 전에 정상 저장된 기록은 자동 삭제하지 않고 유지하며 보호자가 따로 삭제할 수 있다. 철회 후 새로 수집되거나 늦게 도착한 자료는 철회 전 발화라도 저장하지 않는다.</t>
  </si>
  <si>
    <t>생활 녹음 동의 조건과 연결</t>
  </si>
  <si>
    <t>정상 진행에서 기존 1회 재안내·해당 단계 미실시 규칙을 유지한다. 기술적 일시 정지 중 대화용 재안내/Cue를 재생하지 않는다. 단계 무응답 대기값은 ADR에서 관리. 검증 가능한 활동 중 공백에만 FR-F18 적용, 장애 시간으로 대체하지 않는다.</t>
  </si>
  <si>
    <t>삭제한 기록과 그 기록에서 만든 추천·요약·리포트가 조회·집계에서 제외된다. 필수 동의 철회 시 진행 중 활동이 종료되고 새 활동을 시작할 수 없다. 철회 뒤 도착한 자료는 저장되지 않고, 철회 전 기록은 남아 따로 삭제할 수 있다.</t>
  </si>
  <si>
    <t>FR-A09</t>
  </si>
  <si>
    <t>FR-A06, FR-A07, FR-A09, FR-A10, FR-F01</t>
  </si>
  <si>
    <t>새 상황</t>
  </si>
  <si>
    <t>연결 대상별 상태 / 앱 조회 불가 / 마지막 확인 상태</t>
  </si>
  <si>
    <t>노출 이력이 없는 상황에서 추가 목표 도움 없이 반응</t>
  </si>
  <si>
    <t>기존 홈·메뉴·정보 수정·SET-01 진입 유지. 앱 조회 불가 시 마지막 확인 시각·상태 표시. 재진입은 최신 세션 재조회</t>
  </si>
  <si>
    <t>아동별 종료 표현 설정</t>
  </si>
  <si>
    <t>음성 인식·마이크 문제, 음성 대화 장애, 기기 상태 확인 불가를 구분해 FR-E11을 적용한다. 상태가 확인되지 않았다는 이유로 다음 단계 완료를 추정하지 않는다. 종료된 세션은 자동 재개하지 않는다.</t>
  </si>
  <si>
    <t>05 종료 의도·표현 설정</t>
  </si>
  <si>
    <t>04, SET-01</t>
  </si>
  <si>
    <t>'도움 없이'의 뜻</t>
  </si>
  <si>
    <t>FR + NFR. 구조 결정에 따른 연결·종료 규칙 수정, v1.0 결정 복원</t>
  </si>
  <si>
    <t>P-29, FR-E05, FR-F14</t>
  </si>
  <si>
    <t>해당 장면에서 목표 행동의 추가 단서가 없다는 뜻이다. 이전 연습의 영향이나 접근성 지원까지 없었다는 뜻은 아니다.</t>
  </si>
  <si>
    <t>홈의 선택 아동 기기 카드에서 종료 표현 설정(시안 T20, 문서 SET-01)에 진입한다. 기본 종료 표현 “무중아 그만할래”는 항상 유지하고 변경·삭제하지 않는다. 보호자는 선택 아동의 추가 종료 표현을 등록·편집·삭제한다. 빈 값·중복 등록을 막고 변경사항 저장·취소를 제공한다. 저장한 표현은 아동별로 보관해 다음 자유대화·연습부터 공통 적용하며 진행 중 활동의 설정은 바꾸지 않는다. 종료 표현은 종료 의도 인식의 보조 정보이며 정확한 문장 일치를 요구하는 암호가 아니다.</t>
  </si>
  <si>
    <t>기본 표현이 항상 남고 선택 아동의 추가 표현만 추가·수정·삭제·저장된다. 빈 값과 중복은 저장되지 않는다. 취소하면 미저장 변경을 버리고 저장 실패를 성공으로 표시하지 않는다. 저장 완료·실패를 구분하며 다음 활동의 종료 의도 인식에 반영된다.</t>
  </si>
  <si>
    <t>음성 제어</t>
  </si>
  <si>
    <t>FR-A10</t>
  </si>
  <si>
    <t>종료 의도 인식</t>
  </si>
  <si>
    <t>종료 표현은 종료 의도 인식을 돕는 정보이며 등록 문장과 정확히 일치해야 하는 암호가 아니다. 기본 표현 '무중아 그만할래'와 선택한 아동별 추가 종료 표현 및 발화 맥락을 참고해 실제 종료 의도를 판단한다. 호출어를 반드시 말하거나 등록 문장을 그대로 말해야만 종료하는 조건을 두지 않는다. 일반 대사·쉬기 요청과 실제 종료 의도를 구분하며 기기 재생 음성을 아동의 종료 의사로 취급하지 않는다.</t>
  </si>
  <si>
    <t>활동 장애·상태 미확인 푸시 알림</t>
  </si>
  <si>
    <t>SET-01(시안 T20)에서 추가 표현을 관리하며 저장한 변경은 다음 활동부터 자유대화·연습에 공통 적용. 정상 연결의 종료 마무리는 FR-E10. 연결 장애에서는 FR-E11의 대화용 출력 억제와 고정 안내 제공 정책을 따른다.</t>
  </si>
  <si>
    <t>기능 요구사항 (FR)</t>
  </si>
  <si>
    <t>v1.1 v1.0 결정 복원 (이름 통일)</t>
  </si>
  <si>
    <t>04, 12, 14, 16, 21, 24, 27</t>
  </si>
  <si>
    <t>반복과 Cue</t>
  </si>
  <si>
    <t>FR-A06, FR-B07, FR-E11, FR-F01, FR-F18</t>
  </si>
  <si>
    <t>같은 문장 반복·속도 조절은 목표 Cue와 구분하고, '무슨 뜻이야?'에 대한 답이 목표 단서를 추가하면 도움으로 기록한다.</t>
  </si>
  <si>
    <t>도움은 GPT-Live가 실시간 생성</t>
  </si>
  <si>
    <t>서버가 음성 대화 장애 또는 기기 상태 수신 중단을 감지해 부모에게 푸시 발송을 요청한다. 감시는 부모 앱 실행 여부에 의존하지 않는다. 확인된 음성 대화 장애는 “대화 중 음성 연결 문제가 발생했어요.”, 기기 상태 미확인은 “기기 상태를 확인할 수 없어요.”, 기술 문제에 의한 기기 종료까지 확인된 경우만 “연결 문제로 활동이 종료됐어요.”를 쓴다. 앱 닫힘·부모 앱 연결만 장애라는 이유로 기기 장애·종료 알림을 만들지 않는다. 발송 요청·실패·확인 가능한 전달 상태를 구분하며 폰 통신·OS·알림 설정상 즉시 또는 실제 전달을 보장하지 않는다. 같은 사건의 중복 발송을 막고 발화 원문·대화 내용은 넣지 않는다. 알림 선택·앱 재진입 시 최신 세션 상태를 재조회하여 12/21 진행·복구, 14 종료 확인 상태, 종료가 확인된 경우 16/24로 연결한다. 조회 실패하면 마지막 확인 시각과 미확인을 표시한다. 오래된 알림의 문구로 현재 상태를 덮어쓰지 않는다. 정상 공백 가드레일에 의한 종료 알림도 FR-F18·B07의 종료 확인을 따른다. [ADR] 감지·알림 발생 기준, 지연·중복 억제 정책, 전달 상태 확보 범위.</t>
  </si>
  <si>
    <t>표시·생성 금지</t>
  </si>
  <si>
    <t>앱을 닫고 음성 장애·기기 상태 미확인·기술 종료 확인을 각각 발생시키면 서버의 발송 요청이 올바른 문구·아동·세션으로 남는다. 알림 비허용·폰 오프라인은 발송 요청을 실제 전달로 표시하지 않는다. 복구 후 과거 장애 알림을 선택하면 최신 상태로 이동한다. 종료 확인이 없으면 종료 완료 알림·화면을 표시하지 않고, 원문은 노출하지 않는다.</t>
  </si>
  <si>
    <t>진단명 또는 진단 가능성(SCD, ASD 등)</t>
  </si>
  <si>
    <t>앱 닫힘 자체는 장애·종료가 아님. 기기·음성 모델·부모 앱 연결과 기기 상태 확인 불가를 구분</t>
  </si>
  <si>
    <t>FR-B01</t>
  </si>
  <si>
    <t>화면·리포트·기기 음성 모두에 적용. 단어가 아니라 주장과 맥락 기준</t>
  </si>
  <si>
    <t>05</t>
  </si>
  <si>
    <t>대화 기기 상태</t>
  </si>
  <si>
    <t>7.4</t>
  </si>
  <si>
    <t>B 자유대화</t>
  </si>
  <si>
    <t>자유대화 시작 진입</t>
  </si>
  <si>
    <t>기기 연결 / 음성 모델 연결 / 부모 앱 연결별 정상·장애 + 기기 상태 확인 불가</t>
  </si>
  <si>
    <t>사회성·화용능력 점수, 등급, 백분율, 향상률, 성공률</t>
  </si>
  <si>
    <t>06 자유대화 준비</t>
  </si>
  <si>
    <t>대상별 상태·마지막 확인 시각·시작 준비 여부 확인. 원인 불명은 기기 상태 확인 불가. 기존 기록 조회 가능 범위 안내</t>
  </si>
  <si>
    <t>07</t>
  </si>
  <si>
    <t>P-04</t>
  </si>
  <si>
    <t>자유대화 메뉴에서 별도의 목적을 선택하지 않고 자유대화 시작하기를 누른다. 버튼을 누르면 배경 정보 입력(08)으로 이동한다. 궁금한 상황·알고 있는 경험 등의 목적값을 별도로 생성하거나 저장하지 않는다.</t>
  </si>
  <si>
    <t>치료효과, 치료 불필요 또는 필요 권고</t>
  </si>
  <si>
    <t>목적 선택 단계 없이 시작하기를 누르면 08로 이동한다.</t>
  </si>
  <si>
    <t>FR-B02</t>
  </si>
  <si>
    <t>'핵심 원인', '부족하다', '문제가 있다' 같은 결함 확정 표현</t>
  </si>
  <si>
    <t>배경 정보 입력</t>
  </si>
  <si>
    <t>비기능 요구사항 (NFR)</t>
  </si>
  <si>
    <t>실제 학교·친구 대화에서도 같을 것이라는 일반화 단정</t>
  </si>
  <si>
    <t>08</t>
  </si>
  <si>
    <t>P-04, P-05, P-07</t>
  </si>
  <si>
    <t>보호자가 알고 있는 내용, 관련 상황 유형(학교·친구·가족·학원·기타), 정보 출처(직접 봄·아이에게 들음·기타), 궁금한 내용을 선택적으로 입력한다. 모든 항목은 선택 사항이며 아무것도 입력하지 않고 다음으로 이동할 수 있다. 평가·판단 표현을 유도하는 입력란은 두지 않는다.</t>
  </si>
  <si>
    <t>빈 입력으로 09·10을 거쳐 시작할 수 있고, 배경 정보가 없으면 기기가 관심사·일상 질문으로 대화를 시작한다(FR-F03).</t>
  </si>
  <si>
    <t>FR-B03</t>
  </si>
  <si>
    <t>아동의 의도·감정·성격에 대한 단정 (아동이 직접 말한 것은 인용으로만)</t>
  </si>
  <si>
    <t>배경 정보 확인·수정</t>
  </si>
  <si>
    <t>상대 아동(친구)의 감정·의도 단정</t>
  </si>
  <si>
    <t>08, 10</t>
  </si>
  <si>
    <t>P-07</t>
  </si>
  <si>
    <t>아동 기기는 아동 서비스에만 연결하고 GPT Live는 아동 서비스가 중계(확정 구조). 기기 검색·등록·페어링 없음. “연결됨”은 기기 연결이 실제 유지될 때만</t>
  </si>
  <si>
    <t>시작 전 입력한 배경 정보와 출처를 확인하고 수정하거나 삭제할 수 있다. 아무 정보도 입력하지 않은 경우 입력한 배경 정보 없음으로 표시한다.</t>
  </si>
  <si>
    <t>수정·삭제한 내용이 10에 반영되고 빈 상태도 허용된다.</t>
  </si>
  <si>
    <t>지원 방법의 효과 보장, 정답 반응 강요</t>
  </si>
  <si>
    <t>06</t>
  </si>
  <si>
    <t>기기 연결 확인</t>
  </si>
  <si>
    <t>FR-B04</t>
  </si>
  <si>
    <t>제외·이관 항목</t>
  </si>
  <si>
    <t>기기 연결 준비 확인 중 / 준비 완료 / 미확인·장애</t>
  </si>
  <si>
    <t>연결 다시 확인·준비 복귀·취소. 기기 연결 준비와 기존 활동 종료 확인 전 새 시작 차단</t>
  </si>
  <si>
    <t>생활 대화 녹음 추가</t>
  </si>
  <si>
    <t>연속 이용·완료를 압박하는 문구</t>
  </si>
  <si>
    <t>09, 10</t>
  </si>
  <si>
    <t>FR-A03, FR-B05, FR-F05</t>
  </si>
  <si>
    <t>기기 음성에서: 사람인 척, 비밀 약속, 잘함/못함 평가, 정답 문장 제시, 보호자 입력 직접 언급</t>
  </si>
  <si>
    <t>보호자가 원할 때 실제 생활 대화 녹음 파일을 자유대화 참고 자료로 추가한다. 녹음 추가는 선택 사항이며 건너뛰기로 다음에 이동할 수 있다. 시작 전 파일을 제거하거나 변경할 수 있고 파일 없이도 자유대화를 시작한다. 생활 녹음의 수집·이용 및 제3자 음성 동의 조건은 정책 확정 필요 사항으로 관리한다.</t>
  </si>
  <si>
    <t>파일 추가·변경·제거와 건너뛰기가 가능하다. 녹음 없이 시작할 수 있고 첨부 여부가 10에 표시된다. 동의 조건 미충족으로 첨부할 수 없어도 녹음 없이 계속할 수 있다.</t>
  </si>
  <si>
    <t>FR-B05</t>
  </si>
  <si>
    <t>범위 밖</t>
  </si>
  <si>
    <t>진단(SCD/ASD), 사회성 점수, 치료효과 판단</t>
  </si>
  <si>
    <t>이번 MVP에서 다루지 않는다</t>
  </si>
  <si>
    <t>자유대화 시작 요청</t>
  </si>
  <si>
    <t>1.4</t>
  </si>
  <si>
    <t>아동용 화면, 아동 보호자 스마트폰 전달</t>
  </si>
  <si>
    <t>10</t>
  </si>
  <si>
    <t>P-08, P-25</t>
  </si>
  <si>
    <t>자유대화 시작 준비(10)에서 입력한 배경 정보, 선택적으로 추가한 생활 대화 녹음 여부, FR-A06의 시작에 필요한 연결 준비 상태와 필수 동의를 확인한 뒤 시작을 요청한다. 배경 정보와 녹음이 모두 없어도 시작할 수 있다. 시작 조건·중복 제출 방지·요청 전 준비 취소는 공통규칙 활동 시작 조건을 따른다. 서버 수락 후 11에 진입하되 기기의 안내 실행 확인 전에는 “시작 요청됨·실행 확인 중”으로 구분한다. 부모 앱 연결 장애로 전송하지 못한 요청을 수락·활동 시작으로 표시하지 않는다.</t>
  </si>
  <si>
    <t>배경·녹음 없이도 필수 시작 조건 충족 시 시작된다. 요청 수락과 기기 안내 실행 확인을 구분하며 오래된 준비 상태·종료 미확인 세션으로 중복 시작하지 않는다. 요청 전 취소와 요청 후 종료를 구분한다.</t>
  </si>
  <si>
    <t>전문가 계정·대시보드, 리포트 자동 전송</t>
  </si>
  <si>
    <t>FR-B06</t>
  </si>
  <si>
    <t>자유대화 진행 상태 확인</t>
  </si>
  <si>
    <t>생활 녹음</t>
  </si>
  <si>
    <t>선택적 참고 자료 추가</t>
  </si>
  <si>
    <t>실제 생활 대화 녹음을 자유대화의 선택적 참고 자료로 추가하는 기능은 FR-B04로 v0.8 범위에 복귀</t>
  </si>
  <si>
    <t>현행 제외·이관 13건. 이전 버전의 복귀·개정 원문 보관은 집계 제외</t>
  </si>
  <si>
    <t>09·10에서 선택 추가·변경·제거·건너뛰기. 녹음 없이 시작 가능. 제3자 음성 등 정책/동의 조건 추가 필요; 세부 처리 조건은 미확정</t>
  </si>
  <si>
    <t>11, 12</t>
  </si>
  <si>
    <t>마지막 정상 표시를 현재 준비 완료로 간주하지 않음. 세션 토큰으로 연결된 기기만 준비 완료. 판정 시간·상태 유효시간은 ADR</t>
  </si>
  <si>
    <t>v0.8 합의 (기존 제외 범위 개정)</t>
  </si>
  <si>
    <t>P-26, FR-F01, FR-F18, FR-A10</t>
  </si>
  <si>
    <t>자유대화 시작</t>
  </si>
  <si>
    <t>기기 외형, 물리 버튼, AI 처리 위치(하드웨어 명세에서 별도 결정)</t>
  </si>
  <si>
    <t>시작 안내(11)와 자유대화 진행(12)을 구분한다. 12의 타임라인은 실제 활동과 조회 가능성을 분리한다. 정상 대화 확인은 녹색, 아동 서비스가 확인한 음성 대화 장애(기기 연결·음성 모델 연결)는 “대화 연결 복구 중”과 실제 기술적 일시 정지 확인 여부·장애 구간을 표시한다. 보호자 서버가 아동 서비스로부터 상태를 받지 못하면 “기기 상태 확인 불가”와 마지막 확인 시각을 표시하고 대화 중단으로 단정하지 않는다. 종료 요청 후 종료 확인 전까지는 “종료 처리 중”으로 표시한다. 부모 앱 연결만 장애면 “실시간 상태를 불러오지 못하고 있어요”와 마지막 확인 시각·상태를 보여주고 앱 미접속 시간을 중단 구간으로 채우지 않는다. 색상 외 상태명·사유를 함께 쓰며 기술 정지와 회색 미확인은 범례로 구분한다. 재연결 후 실제 확보 기록으로만 갱신하고 증거 없는 구간은 미확인으로 유지한다. 아동 침묵·마이크 문제·AI 응답 지연·연결 장애는 근거에 따라 구분한다. 13은 아동이 명시적으로 쉬는 상태 전용으로 구분하되, v0.8.1에서 제외한 쉬기 기능의 제공 여부·진입·재개 방식은 결정 필요다. 기술적 일시 정지는 12·21의 상태 변형이며 13으로 이동하지 않는다. 실시간 발화·자막·부모 마이크·다음 질문 버튼은 두지 않는다. 공백 가드레일은 FR-F18을 따른다.</t>
  </si>
  <si>
    <t>FR-B01, FR-D04</t>
  </si>
  <si>
    <t>시작 전</t>
  </si>
  <si>
    <t>앱만 오프라인인 동안 기기 대화가 계속된 사례는 재조회 후 실제 기록으로 이어지고 임의의 중단 구간이 생기지 않는다. 음성 대화 장애 확인과 보호자 서버 상태 미수신(기기 상태 확인 불가)은 구분되고, 기술 정지 확인이 없으면 정지 완료로 표시하지 않는다. 복구 기록이 일부만 확보되면 남은 구간은 미확인이다. 침묵만으로 장애·거부·능력 실패로 판정하지 않으며 기기 종료 확인 후에만 16으로 전환한다.</t>
  </si>
  <si>
    <t>자유대화 시작하기 → 08</t>
  </si>
  <si>
    <t>활성 핵심 화면</t>
  </si>
  <si>
    <t>FR-B07</t>
  </si>
  <si>
    <t>자유대화 종료 직후 연습 자동 전환(장기 과제)</t>
  </si>
  <si>
    <t>보호자 종료</t>
  </si>
  <si>
    <t>기기 검색·등록·페어링</t>
  </si>
  <si>
    <t>11, 12, 14, 21</t>
  </si>
  <si>
    <t>P-27, FR-A06, FR-E11, FR-F01, FR-F14</t>
  </si>
  <si>
    <t>아동 기기의 검색·등록·페어링·일회용 코드 발급은 두지 않는다.</t>
  </si>
  <si>
    <t>세션 토큰(확정 구조)으로 대체한다. v1.0 결정과 같다.</t>
  </si>
  <si>
    <t>11·12·21에서 14를 거쳐 보호자가 종료를 요청한다. 종료와 기록 삭제는 별개다. “전송하지 못함”, “서버에 종료 요청됨(종료 처리 중)”, “기기 종료 확인됨”을 구분한다. 요청 중복을 막고 기기 확인 미수신 시 “종료 확인 안 됨”과 마지막 확인 시각·원격 제어 한계를 표시한다. 앱만 오프라인이면 요청 전송 불가를 알리며 종료 요청됨으로 표시하지 않는다. 서버 요청 접수·시간 경과만으로 기기 종료 완료를 만들지 않고 종료가 불명확한 동안 새 활동을 시작하지 않는다. 재연결하면 현재 세션을 먼저 조회하고 이전 명령을 새 세션에 적용하지 않는다. 통신 장애 중 원격 즉시 종료를 보장하지 않는다. 앱 닫힘은 종료 요청이 아니다. 자동 종료도 부모 재확인은 필요 없으나 기기 종료 사실은 확인해야 16/24 종료 화면과 완료 알림으로 전환한다.</t>
  </si>
  <si>
    <t>정상 경로에서 기기가 종료 요청을 수신하면 출력이 중단되고 기기 종료 확인 후 완료된다. 앱만 오프라인에서는 “전송하지 못함”, 서버 수락 후 기기 확인 미수신에서는 “종료 요청됨/종료 확인 안 됨”을 표시한다. 확인 대기 중 종료 완료·새 활동 시작이 허용되지 않고 재시도·재연결·중복 응답으로 다른 세션이 종료되지 않는다.</t>
  </si>
  <si>
    <t>FR-B08</t>
  </si>
  <si>
    <t>결과 접근</t>
  </si>
  <si>
    <t>자유대화 종료 및 기록 이동</t>
  </si>
  <si>
    <t>29개. 13 아동 쉬기 전용 참조는 적용 결정 필요</t>
  </si>
  <si>
    <t>11 종료 안내·기록 연결</t>
  </si>
  <si>
    <t>종료 안내와 기록 상세</t>
  </si>
  <si>
    <t>17, 27</t>
  </si>
  <si>
    <t>자유대화·연습의 정상/부분 종료 직후에는 종료 사실·사유·기록 유무를 안내한다. 대화 요약·해석·추천 목표·단계별 반응 결과는 직접 표시하지 않는다.</t>
  </si>
  <si>
    <t>P-09, FR-D02, FR-F11</t>
  </si>
  <si>
    <t>17의 오늘 자유대화 기록 보기, 23의 오늘 연습 기록 보기 및 16·24의 기록 보기로 해당 세션의 27에 진입. 26 기록 메뉴에서도 조회.</t>
  </si>
  <si>
    <t>자유대화가 정상 종료되면 종료 사실을 안내한다(17). 종료 화면에서는 결과·해석·추천 목표를 직접 보여주지 않는다. 오늘 자유대화 기록 보기를 누르면 기록 탭의 해당 세션 상세(27)로 이동하고, 홈으로도 돌아갈 수 있다. 기록 정리 상태는 종료 사실과 구분해 안내한다.</t>
  </si>
  <si>
    <t>v0.8 합의</t>
  </si>
  <si>
    <t>종료 직후 상세 결과가 표시되지 않고 버튼으로 정확한 세션의 27에 진입한다. 같은 날 여러 활동이 있어도 해당 세션으로 연결된다. 준비 중인 기록은 준비 상태로 표시한다.</t>
  </si>
  <si>
    <t>보조 설정 화면</t>
  </si>
  <si>
    <t>FR-B10</t>
  </si>
  <si>
    <t>기록 상세의 다음 경로</t>
  </si>
  <si>
    <t>27의 자유대화 기록에서는 해당 기록을 바탕으로 18 연습 목표 추천으로, 연습 기록에서는 25 일상 지원으로 이동할 수 있다.</t>
  </si>
  <si>
    <t>자유대화 결과/연습 결과의 인용·출처·미실시·한계는 FR-D02에 모아 실제 저장 기록과 일치시킴. 종료 후 연습 자동 시작 없음.</t>
  </si>
  <si>
    <t>자유대화 불완전 종료 안내</t>
  </si>
  <si>
    <t>목적 선택·목적값 생성 제거</t>
  </si>
  <si>
    <t>활동 진행 표시</t>
  </si>
  <si>
    <t>타임라인의 의미</t>
  </si>
  <si>
    <t>15, 16, 27</t>
  </si>
  <si>
    <t>FR-B02, FR-B03</t>
  </si>
  <si>
    <t>P-28, FR-B07, FR-E11, FR-F11</t>
  </si>
  <si>
    <t>진행 타임라인은 세션의 턴 진행 및 음성·연결 상태를 나타내며 아동의 능력·반응 적절성·대화 품질을 평가하지 않는다.</t>
  </si>
  <si>
    <t>입력 있음 / 입력 없음 / 확인·수정</t>
  </si>
  <si>
    <t>SET-01 종료 표현 설정. 기존 T20 규칙 유지</t>
  </si>
  <si>
    <t>12·21에서 같은 상태 기준 사용. 원문·실시간 자막 미노출. 연습의 functional/partial/none/uncertain 판정(FR-F10)을 색으로 표시하지 않음.</t>
  </si>
  <si>
    <t>알고 있는 내용·상황·출처·궁금한 내용 선택 입력. 빈 상태로 다음 → 09</t>
  </si>
  <si>
    <t>시작 전 미참여는 15, 진행 중 불완전 종료가 기기에서 확인되면 16에 종료 사유와 확보된 기록 존재 여부를 안내한다. 기술 문제는 아동 서비스가 확인한 기기 연결 장애·음성 모델 연결 장애 원인을 구분하고 원인 미확인은 추정하지 않는다. 종료 확인이 없으면 12/14의 상태 변형에서 요청됨·종료 확인 안 됨을 표시한다. 기기 연결·음성 모델 연결이 정상인 상태에서 실제 공백으로 종료된 경우만 FR-F18에 따라 “대화 오디오 공백 지속으로 자동 종료”로 표시한다. 앱 연결 장애·조회 불가를 아동 종료·대화 중단으로 표시하지 않는다. 기록은 확보된 범위만 27에서 확인하며 누락 구간은 미확인으로 남긴다. 시작 전 미참여는 종료 사실·시각만 남기고 상세 결과는 종료 화면에 표시하지 않는다.</t>
  </si>
  <si>
    <t>기기 종료 확인 미수신 사례에서 16 종료 완료를 표시하지 않는다. 종료 사유·종료 확인 여부·기록 확보 범위가 구분되고 보호자 서버의 기록 미수신을 아동 거부나 대화가 없었던 것으로 바꾸지 않는다. 종료 확인 후 16의 기록 보기로 정확한 세션의 27에 연결된다.</t>
  </si>
  <si>
    <t>2. 영역 × 우선순위</t>
  </si>
  <si>
    <t>FR-B11</t>
  </si>
  <si>
    <t>정상 진행(녹색)</t>
  </si>
  <si>
    <t>실제 확보한 이벤트로 AI 발화와 아동 음성 입력을 포함한 대화 턴의 정상 진행이 확인되는 구간</t>
  </si>
  <si>
    <t>녹색은 아동의 능력·반응 적절성·목표 성공 여부 평가가 아니다. 상태를 수신하지 못한 구간을 임의로 녹색 또는 중단 구간으로 채우지 않는다. 색과 함께 상태 문구를 표시한다.</t>
  </si>
  <si>
    <t>참여 거부 안내</t>
  </si>
  <si>
    <t>예상하지 않은 중단(노란색)</t>
  </si>
  <si>
    <t>Could</t>
  </si>
  <si>
    <t>15</t>
  </si>
  <si>
    <t>기기 연결·음성 모델 연결 정상·활동 진행 중 실제 오디오 공백이 연속 4분임을 검증한 경우 비정상 오디오 공백 구간으로 표시한다.</t>
  </si>
  <si>
    <t>P-28</t>
  </si>
  <si>
    <t>자유대화·연습에서 아동이 참여하지 않았을 때 아이를 다그치지 않는 문구로 안내하고, 반복되면 시간대·활동 종류 변경을 권한다.</t>
  </si>
  <si>
    <t>침묵만으로 연결 장애·참여 거부를 판단하지 않는다. 같은 검증 가능한 공백이 추가 약 2분(기본 2분, 총 약 6분) 지속할 때 기존 자동 종료 가드레일 적용. 이 시간은 장애 판정/복구 대기값이 아니다. 기술 장애 구간과 사유를 별도로 구분한다.</t>
  </si>
  <si>
    <t>거부 종료 시 안내 문구가 표시된다.</t>
  </si>
  <si>
    <t>FR-C01</t>
  </si>
  <si>
    <t>Won't</t>
  </si>
  <si>
    <t>음성·연결 확인 어려움(회색)</t>
  </si>
  <si>
    <t>C 연습</t>
  </si>
  <si>
    <t>보류</t>
  </si>
  <si>
    <t>연습 진입·목표 추천</t>
  </si>
  <si>
    <t>확인된 음성 대화 장애와 기기 상태 수신 불가는 서로 다른 상태로 표시한다. 회색 미확인 구간은 진행 여부를 알 수 없다는 의미이며 실제 대화 중단을 뜻하지 않는다.</t>
  </si>
  <si>
    <t>07 연습 목표·추천</t>
  </si>
  <si>
    <t>음성 대화 장애 확인: 대화 연결 복구 중+출력 중지 확인 여부. 보호자 서버 상태 미수신: 기기 상태 확인 불가+마지막 확인 시각. 부모 앱만 수신 불가: 마지막 확인 상태·시각을 표시하고 미수신 시간을 전부 중단 구간으로 채우지 않는다. 기술 정지의 색상은 결정 필요이며 회색 미확인과 문구·범례로 구분한다.</t>
  </si>
  <si>
    <t>합계</t>
  </si>
  <si>
    <t>18</t>
  </si>
  <si>
    <t>P-11, FR-C02, FR-C03, FR-F06</t>
  </si>
  <si>
    <t>공백 시간과 상태 복원</t>
  </si>
  <si>
    <t>자유대화와 별도인 연습 메뉴(18)에 진입하면 아동에게 추천되는 목표를 보여준다. 이전 자유대화·연습 기록이 없으면 연령 기반 기본 목표, 활용 가능한 기록이 있으면 최근 기록 기반 목표와 추천 이유를 보여준다. 추천 외에도 다른 목표 선택(19)으로 서비스가 지원하는 목표를 고를 수 있다. 선택은 FR-C02, 첫 이용은 FR-C03을 따른다.</t>
  </si>
  <si>
    <t>이전 기록 유무에 따라 추천 근거가 구분된다. 두 경우 모두 목표를 선택하거나 다른 목표 목록으로 이동할 수 있다.</t>
  </si>
  <si>
    <t>앱 재진입·재연결 시 같은 세션의 최신 활동 상태와 확보된 이력을 다시 조회한다. 앱 사용 여부 자체는 기기 활동이나 검증 가능한 연속 공백 시간을 바꾸지 않는다.</t>
  </si>
  <si>
    <t>FR-C02</t>
  </si>
  <si>
    <t>18화면 T06의 선택 입력 방식 반영</t>
  </si>
  <si>
    <t>재연결 후 실제 확보한 기록만 타임라인에 반영하고 미확인 구간은 남긴다. 장애/미확인 상태 전환에서 공백 연속성을 입증할 수 없으면 이전 미확인 시간을 누적하지 않는다. 타이머 세부 초기화·재시작 정책은 결정 필요. 종료 확정 세션은 자동 재개하지 않는다.</t>
  </si>
  <si>
    <t>09</t>
  </si>
  <si>
    <t>중단 알림 · 확정 요구</t>
  </si>
  <si>
    <t>FR-A03, FR-B04</t>
  </si>
  <si>
    <t>연습 목표 선택</t>
  </si>
  <si>
    <t>보호자 푸시</t>
  </si>
  <si>
    <t>미첨부 / 첨부 / 첨부 불가</t>
  </si>
  <si>
    <t>서버가 확인된 장애 또는 기기 상태 수신 중단을 감지해 유형별 푸시 발송을 요청한다. 부모 앱 실행 여부를 감시·발송의 필수 조건으로 삼지 않는다.</t>
  </si>
  <si>
    <t>파일 추가·변경·제거 또는 건너뛰기 → 10</t>
  </si>
  <si>
    <t>18, 19, 20</t>
  </si>
  <si>
    <t>P-10, P-12, FR-F06, FR-F19</t>
  </si>
  <si>
    <t>추천된 목표 또는 다른 목표 선택(19)에서 서비스가 지원하는 목표 중 하나를 고르거나 선택을 보류한다. 보호자 또는 아동이 원하는 지원 목표를 선택할 수 있고 추천을 따를 의무는 없다. 선택만으로 활동은 시작되지 않으며 선택 목표를 시작 준비(20)에서 확인한 뒤 별도로 시작한다. 같은 목표를 다시 연습할 때도 이 선택 절차를 거친다.</t>
  </si>
  <si>
    <t>추천 목표와 추천 외 목표를 모두 선택할 수 있다. 선택 목표가 세션 계획에 고정되고 기기는 별도 시작 요청 전까지 동작하지 않는다. 선택 가능한 모든 목표는 FR-F19의 지원 조건을 충족한다.</t>
  </si>
  <si>
    <t>앱 종료 자체는 장애 알림 사유가 아니다. 같은 사건의 중복 알림 방지 원칙은 유지하며 알림 발생·중복 억제 세부 기준과 복구 안내 기준은 ADR(D-CON-06). 휴대폰 통신·알림 권한·운영체제 조건에 따라 즉시 전달을 보장하지 않는다. 발송 요청과 실제 전달을 구분하며 최신 상태 재조회 후 해당 세션으로 이동. FR-A10.</t>
  </si>
  <si>
    <t>연습 목표 추천</t>
  </si>
  <si>
    <t>FR-C03</t>
  </si>
  <si>
    <t>기록 없음·근거 부족</t>
  </si>
  <si>
    <t>이전 자유대화·연습 기록이 없으면 연령과 Library 권장 연령에 따른 기본 목표를 추천한다. 기록이 있어도 개인화 근거가 부족하면 기록 근거를 만들어내지 않고 연령 기반 대안을 제공한다.</t>
  </si>
  <si>
    <t>18·19. 연령 기반 추천임을 구분. 자유대화 선행 이용은 필수 아님. 최소 하나 이상의 선택 가능한 지원 목표 제공(FR-C03·F06·F19).</t>
  </si>
  <si>
    <t>기록 없는 첫 연습 지원</t>
  </si>
  <si>
    <t>기록 기반·다른 목표 선택</t>
  </si>
  <si>
    <t>FR-B04 복귀. 정책·동의 조건 확정 필요</t>
  </si>
  <si>
    <t>18, 19</t>
  </si>
  <si>
    <t>최근 자유대화·연습 기록과 Goal Library에 따라 관련 목표를 추천하며 이유와 근거 기록을 연결한다. 추천을 따를 의무는 없고 지원되는 다른 목표도 선택할 수 있다.</t>
  </si>
  <si>
    <t>P-11, FR-F06, FR-F19</t>
  </si>
  <si>
    <t>자유대화 시작 준비</t>
  </si>
  <si>
    <t>이전 자유대화·연습 기록이 없는 아동에게도 연습 메뉴를 제공한다. 등록한 연령과 Goal Library의 권장 연령 정보를 이용해 기본 목표를 추천한다. 자유대화를 권할 수 있으나 선행 자유대화를 연습의 필수 조건으로 두지 않는다.</t>
  </si>
  <si>
    <t>18 추천 → 19 다른 목표 선택(선택 경로) → 20 준비. 18에서 추천을 선택해 20으로 갈 수도 있음. 같은 목표 재연습도 선택·시작 절차를 거침.</t>
  </si>
  <si>
    <t>이전 기록 없이 연령 기반 목표나 다른 지원 목표를 선택해 연습을 시작할 수 있다. 추천 영역이 빈 화면으로 남지 않는다.</t>
  </si>
  <si>
    <t>FR-A03, FR-A06, FR-B03, FR-B04, FR-B05</t>
  </si>
  <si>
    <t>준비 / 시작 요청 중 / 연결·동의 미충족</t>
  </si>
  <si>
    <t>FR-C05</t>
  </si>
  <si>
    <t>배경·녹음 여부·기기·동의 확인. 시작 요청 → 11. 요청 전 준비 취소</t>
  </si>
  <si>
    <t>연습 목표 Library</t>
  </si>
  <si>
    <t>지원 범위와 조건</t>
  </si>
  <si>
    <t>연습 시작 요청</t>
  </si>
  <si>
    <t>기본 Library 목표와 기록에서 도출된 개인화 목표를 추천·선택 대상으로 사용할 수 있다. 목표명·설명·권장 연령대·핵심 기능·기회 조건·상황 생성 조건·반응 판정 기준을 관리하며 상황 생성부터 반응 기록·결과 생성까지 지원되는 목표만 제공한다.</t>
  </si>
  <si>
    <t>FR-F19. 지원되지 않는 목표는 선택 목록에 표시하지 않음. 개인화 목표도 동일한 실행·판정 조건 필요. 구체 목표 목록·연령 구간은 미확정. C09의 Support Library와 구분.</t>
  </si>
  <si>
    <t>20</t>
  </si>
  <si>
    <t>로그인</t>
  </si>
  <si>
    <t>P-13, P-24</t>
  </si>
  <si>
    <t>연습 시작 준비(20)에서 선택 목표를 확인하고 시작을 요청한다. 개별 연습 상황 본문은 보호자에게 미리 보여주지 않는다. 시작 조건·중복 제출 방지·요청 전 준비 취소는 공통규칙 활동 시작 조건을 따른다. 서버 수락 후 11에 시작 요청·기기 실행 확인 상태를 구분하고 기기 안내가 실제 확인되면 연습 안내를 거쳐 21로 이동한다. 부모 앱 연결 장애·기기 연결 준비 미확인·이전 활동 종료 미확인 시 새 시작을 허용하지 않는다. 상황 생성 실패 시 FR-F07에 따라 시작하지 않고 안내한다.</t>
  </si>
  <si>
    <t>소셜 로그인만 제공</t>
  </si>
  <si>
    <t>시작 화면에 상황 본문이 노출되지 않는다. 서버 수락을 기기 활동 실행 확인으로 오표시하지 않고 기기 연결 준비·이전 활동 종료 확인 후 중복 없이 시작한다.</t>
  </si>
  <si>
    <t>보호자는 카카오·네이버·구글 중 하나의 소셜 로그인으로 로그인한다. 자체 회원가입, 자체 이메일·비밀번호 로그인 기능은 제공하지 않는다.</t>
  </si>
  <si>
    <t>FR-C06</t>
  </si>
  <si>
    <t>01 및 FR-A01. 제공자 인증 완료 후 기존 아동 등록·선택 흐름으로 연결. 자체 계정 생성·비밀번호 재설정 화면을 추가하지 않음.</t>
  </si>
  <si>
    <t>v0.8.1 사용자 요청</t>
  </si>
  <si>
    <t>연습 진행 상태 확인</t>
  </si>
  <si>
    <t>아동 정보</t>
  </si>
  <si>
    <t>첫 등록과 정보 수정</t>
  </si>
  <si>
    <t>02의 첫 아동 등록 흐름에서 이름 또는 별명·연령·관심사를 입력하고 잘못 입력한 정보를 수정할 수 있다. 저장된 아동 정보 수정 기능도 같은 화면의 수정 상태로 제공한다.</t>
  </si>
  <si>
    <t>21</t>
  </si>
  <si>
    <t>FR-A02. 입력/수정 정보 저장 후 선택한 아동에 반영. 진단명·검사 결과는 받지 않으며, 프로필 수정·아동 선택으로 진행 중 세션의 대상 아동이 바뀌지 않는 FR-F01 원칙 유지.</t>
  </si>
  <si>
    <t>P-26, FR-B06, FR-F01, FR-F18, FR-A10</t>
  </si>
  <si>
    <t>연습 진행(21)에 FR-B06·F18의 실제 진행·기술적 일시 정지·상태 미확인 구분을 동일하게 적용한다. 첫 반응·도움/재시도·새 상황·마무리 중 실제 현재 단계를 보여준다. 보호자 서버의 상태 미수신 또는 부모 앱 연결의 조회 불가 상태를 연습 멈춤·단계 실패로 바꾸지 않는다. 아동 서비스가 확인한 음성 대화 장애(기기 연결·음성 모델 연결)는 21의 “대화 연결 복구 중”으로 표시하고 출력 중지 확인 여부를 구분한다. 13은 아동이 명시적으로 쉬는 상태 전용으로 구분하되, v0.8.1에서 제외한 쉬기 기능의 제공 여부·진입·재개 방식은 결정 필요다. 기술적 일시 정지는 12·21의 상태 변형이며 13으로 이동하지 않는다. 모든 단계를 고정 순서로 표시하거나 부모가 다음 단계·건너뛰기를 실행하는 버튼을 두지 않는다. 기술 복구 재개는 종료 전이며 종료 요청이 남아 있지 않고 상태·맥락을 정상 복원할 수 있는 경우에만 가능하고 세부 판정 조건은 ADR에서 정한다.</t>
  </si>
  <si>
    <t>종료 표현 설정</t>
  </si>
  <si>
    <t>기기 연결·음성 모델 연결 장애인 경우와 보호자 서버 상태 미수신인 경우의 화면이 다르며 실제 현재 단계·확인 시각을 표시한다. 복구 후 확보 기록으로만 타임라인을 보완하고 불명 구간은 미확인이다. 확인된 음성 대화 장애의 복구 실패·복원 불가로 기술 종료하고 기기 종료가 확인되면 24로 연결하되 미실시를 실패로 처리하지 않는다. 종료 확인 없는 경우에는 종료 완료로 바꾸지 않는다.</t>
  </si>
  <si>
    <t>SET-01(시안 T20)의 기본 종료 표현은 '무중아 그만할래'이며 항상 유지되고 삭제·변경할 수 없다. 선택한 아동별로 추가 종료 표현을 등록·편집·삭제할 수 있다.</t>
  </si>
  <si>
    <t>FR-C07</t>
  </si>
  <si>
    <t>FR-A06의 기기 연결 준비와 기존 활동 종료 확인 필요. 앱 요청 전송 불가를 수락으로 표시하지 않음</t>
  </si>
  <si>
    <t>홈의 기기 카드에서 진입. 빈값·중복 표현 저장 방지. 저장 실패를 성공으로 표시하지 않고 취소하면 저장하지 않은 변경을 폐기. 저장된 설정은 다음 활동부터 자유대화·연습 공통 적용. FR-A09.</t>
  </si>
  <si>
    <t>11</t>
  </si>
  <si>
    <t>기기 안내 중</t>
  </si>
  <si>
    <t>오디오 공백 가드레일 · 확정 요구</t>
  </si>
  <si>
    <t>연습 종료 및 기록 이동</t>
  </si>
  <si>
    <t>FR-B06, FR-B07, FR-E01, FR-E06, FR-F01</t>
  </si>
  <si>
    <t>적용 범위와 시간</t>
  </si>
  <si>
    <t>시작 요청됨 / 기기 실행 확인 중 / 안내·참여 확인</t>
  </si>
  <si>
    <t>기존 연속 4분 공백 판정·추가 약 2분(기본 2분, 총 약 6분) 자동 종료는 기기 연결·음성 모델 연결 정상·활동 진행 중 실제 오디오 공백 연속성을 검증할 수 있을 때만 유지한다.</t>
  </si>
  <si>
    <t>기기 안내·참여 확인. 참여 시 자유대화 12 / 연습 21, 미참여 시 15. 홈·종료 확인 14</t>
  </si>
  <si>
    <t>22, 23, 27</t>
  </si>
  <si>
    <t>11 시작 안내·22 결과 정리·종료 상태에는 미적용. 장애·상태 미확인·기술적 일시 정지·아동 쉬기 시간은 합산하지 않고 장애 타임아웃으로 쓰지 않는다. 앱 종료·탭 이동 자체는 타이머를 변경하지 않음. 오디오 정상 복귀 시 연속 공백은 종료. 공백은 아동 서비스가 받은 음성 기준으로 측정한다. 상태 전환 시 세부 초기화 정책은 결정 필요.</t>
  </si>
  <si>
    <t>P-14~P-17, FR-D02, FR-F11</t>
  </si>
  <si>
    <t>연습 정상 종료 후 기록 정리 중(22)과 종료 안내(23)를 제공한다. 종료 사실과 기록 정리 상태를 구분하고 22·23에서 첫 반응·도움·재시도·새 상황 결과를 직접 보여주지 않는다. 오늘 연습 기록 보기를 누르면 기록 탭의 해당 세션 상세(27)로 이동한다. 홈으로 돌아갈 수도 있다.</t>
  </si>
  <si>
    <t>오디오 공백 가드레일</t>
  </si>
  <si>
    <t>종료 직후 상세 결과가 표시되지 않으며 해당 세션의 27로 연결된다. 22의 준비 상태가 활동 진행으로 오인되지 않고 종료 버튼은 없다. 기록 준비가 끝나도 상세 화면으로 자동 이동하지 않는다.</t>
  </si>
  <si>
    <t>종료 처리와 기록</t>
  </si>
  <si>
    <t>FR-C08</t>
  </si>
  <si>
    <t>적용 조건이 확인된 공백 자동 종료는 사유를 비정상 오디오 공백 지속으로 보존하고 기존 응답·Cue의 대기 출력을 취소한다. 확보한 중단 전 기록을 보존하며 미실시 단계를 실패로 처리하지 않는다.</t>
  </si>
  <si>
    <t>FR-F18·FR-F01·FR-F11·FR-F14. 서버 발송 요청과 실제 알림 전달을 구분. 기기 종료 확인 후 자유대화 16·연습 24, 상세 27로 연결. 종료 미확인은 완료로 표시하지 않는다. 복구로 같은 종료 세션을 자동 재개하지 않는다.</t>
  </si>
  <si>
    <t>연습 부분 종료 안내</t>
  </si>
  <si>
    <t>연결 장애 · 확정 요구</t>
  </si>
  <si>
    <t>부모 앱 고지</t>
  </si>
  <si>
    <t>부모 앱은 확인된 사실에 맞춰 연결 대상·현재 확인 상태·마지막 확인 시각을 고지한다. 원인을 모르면 기기 상태 확인 불가로 표시하고 실제 대화 중단을 단정하지 않는다.</t>
  </si>
  <si>
    <t>24, 27</t>
  </si>
  <si>
    <t>부모가 아동에게 상황을 전달하도록 안내할 수 있다. 기기 안내 음성 일괄 금지 규칙을 보완: 확인된 음성 대화 장애 시 고정 안내를 제공할 수 있다(음성 모델 연결만 장애면 아동 서비스가 기기 연결로 전달, 기기 연결 장애면 아동 기기에 미리 받아 둔 안내 재생). 제공 여부·문구·횟수는 결정 필요다. 대화용 기존·지연 응답을 안내 대신 재생하지 않는다.</t>
  </si>
  <si>
    <t>연습 중 아동·부모 종료, 기술 문제 또는 정상 공백 가드레일에 의한 기기 종료가 확인되면 24에 종료 사유와 기록된 단계 존재 여부를 안내한다. 기기 연결·음성 모델 연결 장애와 원인 미확인을 구분한다. 요청만 접수되고 기기 확인이 없으면 21/14에서 종료 요청됨·확인 안 됨을 표시하고 완료로 전환하지 않는다. 확보된 기록·미확인 구간은 27에서 확인한다. 종료 사유·종료 확인 여부·결과 상태·미실시 사유를 별도로 보존하고 앱 연결 장애를 아동 활동 종료 사유로 쓰지 않는다.</t>
  </si>
  <si>
    <t>기기 확인 없는 종료 요청을 24의 완료 상태로 표시하지 않는다. 종료가 확인되면 같은 세션의 24·27·알림이 일치하며 확보 기록만 보존·표시한다. 장애·상태 미확인·공백을 아동 종료 의도나 미실시 실패로 추정하지 않는다.</t>
  </si>
  <si>
    <t>확정 구조</t>
  </si>
  <si>
    <t>아동 서비스 경유 연결</t>
  </si>
  <si>
    <t>FR-C09</t>
  </si>
  <si>
    <t>아동 기기는 아동 서비스에만 연결하고, 아동 서비스가 GPT Live와의 음성 교환을 서버 간 연결로 중계한다. 부모 앱은 보호자 서버를 통해 상태 확인·활동 조작을 담당하며 기기 대화는 부모 앱 실행 여부에 의존하지 않는다. 기기 연결·음성 모델 연결이 정상인 동안 앱 종료·부모 휴대폰 인터넷 단절만으로 활동·기록을 멈추지 않는다.</t>
  </si>
  <si>
    <t>아동 기기의 인터넷이 보호자 휴대폰 핫스팟에 의존하더라도 그 영향은 아동 서비스가 확인한 기기 연결 장애로 처리하며 부모 앱 장애만으로 원인을 추정하지 않는다. 아동 기기와 GPT Live의 직접 연결은 두지 않는다.</t>
  </si>
  <si>
    <t>일상 지원 확인</t>
  </si>
  <si>
    <t>12 기록·리포트</t>
  </si>
  <si>
    <t>음성 모델 연결</t>
  </si>
  <si>
    <t>아동 서비스와 GPT Live 사이에서 아동 음성과 AI 응답을 주고받는 서버 간 연결이다. 장애가 확인되면 실시간 음성 대화를 정상적으로 이어가기 어렵다는 뜻이다.</t>
  </si>
  <si>
    <t>25, 27</t>
  </si>
  <si>
    <t>P-18 (FR-F13 통합)</t>
  </si>
  <si>
    <t>아동 서비스가 직접 장애를 확인한다. 기기 연결과 음성 모델 연결을 합쳐 음성 대화 연결이라 하며, 둘 중 하나의 장애를 음성 대화 장애로 처리한다. 프로토콜·재연결 방식은 ADR.</t>
  </si>
  <si>
    <t>서버 수락과 기기 안내 실행을 구분. 기본 종료 표현 안내 유지. 부모 앱 조회 장애를 아동 미참여로 판단하지 않음</t>
  </si>
  <si>
    <t>연습 기록 상세(27)에서 일상 지원(25)으로 진입한다. 승인된 지원 목록(Support Library)에서 이번 목표 행동·적용 조건에 맞는 항목 1개를 골라 적용 조건·한계와 함께 보여준다. 초기 지원 목록(또는 초기 시나리오)은 개발팀이 제공한다. 맞는 항목이 없거나 목록이 비어 있으면 '추가 관찰 필요'를 표시한다. 미승인 항목과 검색 점수는 노출하지 않는다. 표현 제한은 NFR-01을 따른다.</t>
  </si>
  <si>
    <t>미승인 항목과 검색 점수가 노출되지 않는다. 맞는 항목이 없거나 목록이 비어 있으면 '추가 관찰 필요'가 표시된다.</t>
  </si>
  <si>
    <t>12</t>
  </si>
  <si>
    <t>기기 연결</t>
  </si>
  <si>
    <t>FR-D01</t>
  </si>
  <si>
    <t>자유대화 진행</t>
  </si>
  <si>
    <t>아동 기기와 아동 서비스 사이에서 음성·활동 상태·시작/종료 명령을 주고받는 하나의 연결이다. 보호자 서버가 발급한 세션 토큰으로 인증된 기기만 연결할 수 있다.</t>
  </si>
  <si>
    <t>FR-A06, FR-A10, FR-B06, FR-B07, FR-E03, FR-E04, FR-E05, FR-E10, FR-E11, FR-F01, FR-F14, FR-F18</t>
  </si>
  <si>
    <t>아동 서비스가 직접 장애를 확인한다. 장애 시 아동 기기는 받아 둔 응답 재생을 멈추고 아동 서비스는 기술적 일시 정지·복구를 시작한다. 상태·명령이 같은 연결로 오가므로 ‘관리 연결만 장애’인 상태는 없다. 판정 시간·재연결 대기시간은 ADR.</t>
  </si>
  <si>
    <t>진행 / 기술적 일시 정지·복구 / 상태 미확인 / 종료 처리 중(종료 확인 대기)</t>
  </si>
  <si>
    <t>D 기록·리포트</t>
  </si>
  <si>
    <t>기록 목록</t>
  </si>
  <si>
    <t>타임라인은 확인된 진행·장애와 미확인 구간을 구분. 대상별 마지막 확인 시각. 수동 종료 →14. 기기 종료 확인 후 정상17·불완전16</t>
  </si>
  <si>
    <t>부모 앱 연결</t>
  </si>
  <si>
    <t>부모 앱과 보호자 서버 사이에서 상태·기록 조회 및 활동 조작 요청을 전달하는 기능상 연결이다. 장애 시 앱의 조회·조작이 어렵지만 기기 대화는 계속될 수 있다.</t>
  </si>
  <si>
    <t>26</t>
  </si>
  <si>
    <t>앱만 오프라인인 경우 아동 활동 종료 사유에서 제외한다. 요청 전송 불가·응답 미수신을 시작/종료 성공으로 표시하지 않는다.</t>
  </si>
  <si>
    <t>P-19</t>
  </si>
  <si>
    <t>기록 탭(26)에 자유대화·연습 기록을 통합해 시점과 출처로 구분하고 활동 종류로 필터한다. 거부 종료 세션은 종료 사실·시각만 표시하며 대화 인용 상세로 연결하지 않는다. 활동 기록이 있으면 해당 세션의 27로 진입하고 준비 중·생성 실패도 구분한다.</t>
  </si>
  <si>
    <t>전체·자유대화·연습 필터가 동작한다. 날짜가 같아도 서로 다른 세션을 구분하며 선택한 기록과 상세의 세션이 일치한다.</t>
  </si>
  <si>
    <t>세션 토큰</t>
  </si>
  <si>
    <t>FR-D02</t>
  </si>
  <si>
    <t>아동 기기는 보호자 서버가 활동별로 발급한 세션 토큰으로만 아동 서비스에 연결한다. 토큰이 없거나 만료·종료된 세션의 토큰은 거부한다.</t>
  </si>
  <si>
    <t>기기 검색·등록·페어링·일회용 코드는 두지 않는다. 토큰 발급 시점·전달 방식(링크·QR 등)·만료는 ADR. 브라우저의 마이크·소리 재생 허용을 위해 아동 기기에서 최소한의 사용자 조작이 필요할 수 있다.</t>
  </si>
  <si>
    <t>활동 기록 상세</t>
  </si>
  <si>
    <t>기록 저장 주체</t>
  </si>
  <si>
    <t>원음·전사·활동 기록·상태 이력 등 저장 대상은 모두 보호자 서버의 통합 저장소에 저장한다. 아동 서비스는 진행 중 세션 상태와 전달 대기 데이터만 임시로 보관한다.</t>
  </si>
  <si>
    <t>18, 25, 27</t>
  </si>
  <si>
    <t>P-09, P-14~P-19, FR-B08, FR-C07, FR-C08, FR-F05, FR-F09, FR-F12</t>
  </si>
  <si>
    <t>보호자 서버는 동의 철회·삭제 이후 도착한 자료를 저장하지 않는다(FR-A08). 전달 실패 데이터는 아동 서비스가 다시 전달하며 중복 저장하지 않는다. 보관 한계는 ADR.</t>
  </si>
  <si>
    <t>기록 탭의 해당 세션 상세(27)에서 결과를 확인한다. 자유대화 기록은 보호자 입력 배경, 아동이 이야기한 경험, 주요 발화 인용, 보호자 입력/아동 회상 출처, 아직 확인되지 않은 내용을 보여준다. 생활 녹음 참고 자료가 있으면 별도 출처로 구분한다. 연습 기록은 선택 목표, 첫 반응, 제공된 도움, 도움 후 반응, 새 상황의 반응과 추가 도움 여부, 미실시 단계·사유 및 기록의 한계를 보여준다. 도움 후 반응이 첫 반응을 덮어쓰지 않는다. 자유대화 기록에서는 이 기록을 바탕으로 연습 목표 추천 보기(18), 연습 기록에서는 일상에서 참고할 지원 보기(25)로 이동한다. 동의 범위 밖 전사·인용은 숨기며 표현 제한은 NFR-01을 따른다. 기술 문제가 있으면 종료 확인 여부와 확보된 기록 범위·상태 미확인 구간을 따로 보여준다. 기록 수신 공백을 아동의 침묵·거부·연습 실패로 해석하지 않는다. 부모 앱 연결이 복구되면 실제 수신한 기록만 갱신한다.</t>
  </si>
  <si>
    <t>활동 상태 · 확정 요구</t>
  </si>
  <si>
    <t>앱 종료·부모 앱만 오프라인</t>
  </si>
  <si>
    <t>자유대화·연습 상세 결과가 종료 안내와 분리되어 기록 메뉴에서 확인된다. 인용·출처·미실시가 실제 저장 기록과 일치하고 서버 집계에 없는 수치·판단·점수·성공률이 없다. 준비 중·생성 실패·자료 부족을 구분하고 생성 실패 시 FR-F17을 따른다. 기술 장애 기간의 확보되지 않은 기록을 만들어 채우지 않고, 기기 종료 확인과 기록 정리·확보 범위를 구분한다.</t>
  </si>
  <si>
    <t>부모가 앱을 닫는 것은 정상 사용 행동이다. 기기 연결·음성 모델 연결이 정상인 활동·기록을 유지한다. 부모 앱만 서버와 통신하지 못해도 이를 이유로 아동 활동을 종료하지 않는다.</t>
  </si>
  <si>
    <t>FR-D04</t>
  </si>
  <si>
    <t>앱만 오프라인: 실시간 상태를 불러오지 못하고 있어요+마지막 확인 시각·상태. 앱 종료 자체로 장애 푸시 없음. 재진입 시 현재 활동·그동안 확보된 이력을 재조회한다.</t>
  </si>
  <si>
    <t>다음 활동 선택</t>
  </si>
  <si>
    <t>앱 조회 불가를 대화 중단으로 채우지 않음. 기술 정지는12상태 변형. 13아동쉬기와구분. 장애·복구 시간은 ADR</t>
  </si>
  <si>
    <t>기술적 일시 정지</t>
  </si>
  <si>
    <t>아동 서비스가 확인한 음성 대화 장애에 따른 시스템의 정지 상태로, 아동이 선택한 쉬기와 구분한다. 기존·지연 응답 재생과 새로운 대화용 음성 전송을 중지하고 복구를 시도한다.</t>
  </si>
  <si>
    <t>13</t>
  </si>
  <si>
    <t>07, 18, 25, 26, 27</t>
  </si>
  <si>
    <t>아동이 쉬는 중 (적용 결정 필요)</t>
  </si>
  <si>
    <t>P-20</t>
  </si>
  <si>
    <t>12·21의 대화 연결 복구 중 상태로 표시한다. 아동 서비스가 출력 중지를 확인하지 못하면 정지 확인 안 됨을 구분하고 정지 완료로 표시하지 않는다. 13 아동 쉬기로 이동하지 않으며 실제 기술 정지 중 대화용 Cue·재안내를 재생하지 않는다. 기술 정지의 색상은 결정 필요이며 회색 상태 미확인과 문구·범례로 구분한다. 정지는 아동 서비스가 실행하고, 기기 연결 장애 시에는 아동 기기도 재생을 스스로 멈춘다.</t>
  </si>
  <si>
    <t>기록을 보고 새 자유대화(07) 또는 연습 목표 추천(18)으로 이동한다. 자유대화 상세에서 현재 기록을 근거로 추천을 보는 연결은 FR-D02·FR-F06을 따른다.</t>
  </si>
  <si>
    <t>적용 결정 필요 (아동 쉬기 전용)</t>
  </si>
  <si>
    <t>다음 활동 선택이 홈·자유대화 준비 또는 연습 목표 추천으로 이어진다. 선택만으로 기기의 활동이 자동 시작되지 않는다.</t>
  </si>
  <si>
    <t>아동이 명시적으로 선택한 쉬기와 기술 장애를 구분하는 참조 상태. 제공 여부·진입·재개 방식 확정 전 자동 진입시키지 않음</t>
  </si>
  <si>
    <t>활동 상태 · 결정 필요</t>
  </si>
  <si>
    <t>FR-D05</t>
  </si>
  <si>
    <t>아동의 명시적 쉬기</t>
  </si>
  <si>
    <t>아동 의사에 따른 쉬는 중은 기술 장애로 멈춘 상태나 상태 확인 불가와 구분해야 한다.</t>
  </si>
  <si>
    <t>13은 아동 쉬기 전용 (적용 결정 필요)로 정의만 구분한다. 현재 보완만으로 쉬기·건너뛰기·재개 기능을 재도입하지 않는다. 적용 시 진입/복귀 방식·공백 제외 범위는 별도 결정. 기술 정지는 12·21 상태 변형이다.</t>
  </si>
  <si>
    <t>상담용 리포트 생성</t>
  </si>
  <si>
    <t>서버 간 상태 미수신</t>
  </si>
  <si>
    <t>28, 29</t>
  </si>
  <si>
    <t>보호자 서버가 아동 서비스의 상태를 수신하지 못하면 기기 상태 확인 불가와 마지막 확인 시각을 표시한다. 실제 대화 지속·중단을 단정하지 않는다.</t>
  </si>
  <si>
    <t>P-21, E-02~13</t>
  </si>
  <si>
    <t>원격 종료 요청 전송 여부·아동 서비스 수신 여부·종료 확인 여부를 확보한 근거에 맞게 구분한다. 이 동안 아동 서비스는 활동을 계속 관리하며, 전달이 재개되면 보관한 상태·기록을 보호자 서버에 반영한다.</t>
  </si>
  <si>
    <t>아동 정보, 최근 실제 경험, 주요 대화 내용, 살펴본 화용 행동, 첫 반응, 제공된 도움, 도움 후 반응, 새 상황 반응, 과거 기록의 시점별 차이, 제한사항의 10개 항목을 포함한다('보호자 관찰'은 제외). 미실시·자료 부족을 구분하고 내용을 만들어 채우지 않는다(FR-F12). 과거 차이는 상황·도움 조건과 함께 제시한다(표현 제한은 NFR-01). 진단 결과가 아님을 명시한다.</t>
  </si>
  <si>
    <t>정상 사례의 기록·인용이 해당 항목과 연결되고 결측 사례는 결측으로 표시된다.</t>
  </si>
  <si>
    <t>복구 · 확정 요구</t>
  </si>
  <si>
    <t>FR-D06</t>
  </si>
  <si>
    <t>기기 연결 장애 대응</t>
  </si>
  <si>
    <t>기기 연결이 끊기면 아동 서비스가 기술적 일시 정지·복구 대기를 시작하고, 정해진 시간 안에 같은 세션 토큰으로 재연결되지 않으면 기술 문제로 활동을 종료한다. 아동 기기는 연결이 끊긴 즉시 받아 둔 응답 재생을 멈춘다.</t>
  </si>
  <si>
    <t>리포트 확인·전달</t>
  </si>
  <si>
    <t>v0.8.2의 정책 제안(필수 관리 연결 지속 장애 시 기기 자체 정지·종료)을 구조 결정으로 대체한다. 종료 판단은 아동 서비스가 하므로 기기와 통신이 끊겨도 종료를 확정할 수 있다. 복구 대기시간·재시도 횟수는 ADR.</t>
  </si>
  <si>
    <t>종료 확인 · 확정 요구</t>
  </si>
  <si>
    <t>종료 요청과 종료 확인</t>
  </si>
  <si>
    <t>29, 30</t>
  </si>
  <si>
    <t>P-22, E-01, E-13</t>
  </si>
  <si>
    <t>보호자가 리포트 내용을 확인하고 PDF 파일로 저장한다. 전문가에게는 보호자가 저장한 PDF를 직접 전달한다. 서비스 안의 전송·공유 기능, 전문가 계정, 수신 확인은 두지 않는다.</t>
  </si>
  <si>
    <t>보호자 종료 조작·보호자 서버의 요청 전달·아동 서비스의 종료 확인을 분리한다. 종료 확인은 아동 서비스가 해당 활동의 출력 중지와 음성 모델 세션 종료를 확인한 것을 뜻하며 기기 연결이 끊긴 상태에서도 확정할 수 있다. 보호자 서버가 종료 확인을 받지 못하면 종료 요청됨 또는 종료 확인 안 됨으로 표시한다.</t>
  </si>
  <si>
    <t>리포트가 PDF 파일로 저장되고 저장 사실만 이력에 표시된다. PDF 저장을 전달·수신 완료로 표시하지 않는다.</t>
  </si>
  <si>
    <t>종료 요청부터 종료 확인까지는 종료 처리 중으로 표시한다. 통신 장애 중 원격 즉시 종료를 보장하지 않는다. 요청 자체가 전송되지 않았다면 전송 실패/미전송을 표시하고 요청 성공으로 보이지 않게 한다. 확인 근거가 들어오면 해당 세션의 종료 상태를 동기화한다.</t>
  </si>
  <si>
    <t>FR-E01</t>
  </si>
  <si>
    <t>v0.8.1의 제외 정책과 이번 요청의 쉬기 참조 관계 결정 필요. 음성 대화 장애·기기 상태 확인 불가·앱 조회 불가를 이 화면으로 연결하지 않음</t>
  </si>
  <si>
    <t>복구 성공과 재개</t>
  </si>
  <si>
    <t>E 아동 기기</t>
  </si>
  <si>
    <t>14</t>
  </si>
  <si>
    <t>시작 안내와 참여 확인</t>
  </si>
  <si>
    <t>종료 전이며 활동 상태·대화 맥락이 정상 복원 가능함을 확인하고 미해결 종료 요청이 없는 경우에만 기존 활동을 재개할 수 있다. 종료 요청이 남아 있거나 종료 확정된 같은 세션은 복구만으로 재개하지 않는다.</t>
  </si>
  <si>
    <t>활동 종료 확인</t>
  </si>
  <si>
    <t>04 음성 대화</t>
  </si>
  <si>
    <t>재개 허용 조건·기기/서버 합의 근거는 결정 필요. 복구 이벤트만으로 활동 진행을 확정하지 않고 최신 상태와 확보된 이력으로 12·21을 갱신한다. 재개 시 오래된 응답을 중복 재생하지 않는다.</t>
  </si>
  <si>
    <t>FR-A10, FR-B07, FR-F01, FR-F14</t>
  </si>
  <si>
    <t>종료 확인 / 전송 못함 / 요청됨 / 기기 종료 확인 안 됨</t>
  </si>
  <si>
    <t>수동 종료 요청·중복 방지·상태 재조회. 서버 접수와 기기 실행 확인 분리. 확인 전 완료·새 활동 시작 금지</t>
  </si>
  <si>
    <t>C-F-01, C-F-02, C-P-01</t>
  </si>
  <si>
    <t>복구 실패·복원 불가</t>
  </si>
  <si>
    <t>보호자가 시작을 요청하면 AI와 대화한다는 사실, 오늘 활동, 기록·보호자 열람, 그만하고 싶을 때 말할 기본 종료 표현 “무중아 그만할래”를 승인된 음성 문구로 안내하고 참여 의사를 묻는다. 아동별 추가 종료 표현은 FR-A09에 따라 다음 활동부터 인식에 사용한다. 쉬기·건너뛰기·재개 명령은 안내하지 않는다.</t>
  </si>
  <si>
    <t>아동 서비스가 확인한 음성 대화 장애(기기 연결·음성 모델 연결)의 복구 실패 또는 활동 상태·대화 맥락 복원 불가 시 아동 서비스가 기술 문제로 종료 처리한다. 보호자 서버의 상태 미수신만으로는 종료하지 않는다.</t>
  </si>
  <si>
    <t>AI 정체와 종료 방법을 안내하고 참여 의사를 처리한다. 설정된 추가 종료 표현은 올바른 아동의 다음 활동에만 반영된다. 시작 전 미참여 기록은 FR-F11을 따른다.</t>
  </si>
  <si>
    <t>FR-E02</t>
  </si>
  <si>
    <t>장애 판정·복구 대기시간·재시도 횟수는 ADR. 기기 종료 확인 유무와 확보된 기록 범위를 분리한다. 종료 확인 미수신은 완료로 표시하지 않으며 원격 즉시 종료를 보장하지 않는다. 4분+2분을 장애 종료 시간으로 대입하지 않는다.</t>
  </si>
  <si>
    <t>안정성 · 확정 요구</t>
  </si>
  <si>
    <t>참여 거부 처리</t>
  </si>
  <si>
    <t>지연 응답·중복 명령·순서 역전</t>
  </si>
  <si>
    <t>기술적 일시 정지·종료 후에는 해당 대화의 이전/지연 응답과 Cue를 재생하지 않는다. 재연결·재시도·지연 상태 수신 때문에 종료 확정 상태가 진행 중으로 되돌아가지 않게 한다.</t>
  </si>
  <si>
    <t>같은 세션의 중복 시작/종료 요청으로 중복 활동을 만들지 않는다. 이벤트 식별·순서·멱등 처리의 구현 방식은 설계 결정으로 분리하며, 결과적으로 종료 상태 역전과 응답 중복 재생이 없어야 한다.</t>
  </si>
  <si>
    <t>C-F-01, C-P-01, P-28</t>
  </si>
  <si>
    <t>타임라인 · 확정 요구</t>
  </si>
  <si>
    <t>시작 안내의 참여 질문을 거부한 경우만 시작 전 활동 거부로 보고 다른 선택지를 1회 제안한 뒤 다시 거부하면 마무리한다. 진행 중 실제 종료 의도는 FR-E05를 따른다. 특정 주제만 거부하면 다른 주제를 제안하고 이를 활동 종료로 혼동하지 않는다. 무응답·쉬고 싶다는 말만으로 종료 의도를 확정하지 않는다. 쉬기 의도와 종료 의도를 혼동하지 않으며 아동 쉬기 기능의 제공·진입·재개는 별도 결정 필요다. 기술적 일시 정지를 아동의 쉬기 요청으로 표시하거나 자동으로 다른 활동 메뉴로 바꾸지 않는다.</t>
  </si>
  <si>
    <t>확인 근거·확인 시각</t>
  </si>
  <si>
    <t>재권유가 1회를 넘지 않는다. 미참여 기록은 FR-F11을 따른다.</t>
  </si>
  <si>
    <t>확인된 활동 이벤트와 상태 수신 불가를 분리하며 마지막 확인 상태·시각을 관리한다. 아동 침묵·마이크 문제·AI 응답 지연·연결 장애를 동일한 사유로 바꾸지 않는다.</t>
  </si>
  <si>
    <t>FR-E03</t>
  </si>
  <si>
    <t>기기 이벤트 시각과 서버/앱 수신 시각을 구분해 늦게 받은 이벤트가 현재 상태처럼 보이지 않게 한다. 시각 동기·유효시간·사유별 판정 근거는 ADR. 근거 부족 시 원인 미확인으로 유지.</t>
  </si>
  <si>
    <t>재연결 후 이력 보완</t>
  </si>
  <si>
    <t>재연결 후 실제 확보된 기록으로 확인 가능한 구간만 타임라인을 갱신한다. 복구됐다는 사실만으로 그동안의 활동이 정상/중단이었다고 채우지 않는다.</t>
  </si>
  <si>
    <t>확인 불가 구간은 미확인으로 남기고 지연 수신 기록의 범위를 표시한다. 앱만 오프라인이었던 시간을 전부 회색 중단으로 만들지 않는다. 아동 서비스가 보호자 서버에 전달하지 못한 기록은 보관 후 다시 전달한다. 기기 연결이 끊긴 동안 아동 서비스가 받지 못한 음성은 복구하지 않고 미확인으로 남긴다.</t>
  </si>
  <si>
    <t>C-F-03~07</t>
  </si>
  <si>
    <t>보호자 입력을 직접 언급하지 않고 일상 질문으로 시작해 후속 질문으로 이어간다. 한 번에 질문 하나, 과도한 칭찬·추궁 금지. 입력한 사건이 나오지 않아도 계속 유도하지 않는다.</t>
  </si>
  <si>
    <t>'엄마가 그러던데' 류의 발화가 시험 세트에서 나오지 않는다.</t>
  </si>
  <si>
    <t>푸시 · 확정 요구</t>
  </si>
  <si>
    <t>통신 장애 중 원격 즉시 종료 보장 없음. 자동 종료도 기기 확인 필요. 재연결 후 과거 명령을 다른 세션에 적용하지 않음</t>
  </si>
  <si>
    <t>FR-E04</t>
  </si>
  <si>
    <t>확인 사실에 따른 알림 문구</t>
  </si>
  <si>
    <t>시작 전 미참여 종료</t>
  </si>
  <si>
    <t>음성 대화 장애 확인: “대화 중 음성 연결 문제가 발생했어요.” / 기기 상태 미확인: “기기 상태를 확인할 수 없어요.” / 기술 문제 종료 확인: “연결 문제로 활동이 종료됐어요.”</t>
  </si>
  <si>
    <t>다시 듣기·속도 조절·설명 요청</t>
  </si>
  <si>
    <t>FR-B10, FR-B11, FR-E02, FR-F01, FR-F11</t>
  </si>
  <si>
    <t>앞 두 알림은 종료 완료를 뜻하지 않는다. 마지막 문구는 기술 문제와 종료가 확인된 경우에만 사용한다. 대화 내용·아동 발화 원문을 푸시에 포함하지 않는다. 발생 조건은 별도 결정 필요.</t>
  </si>
  <si>
    <t>자유대화·연습 미참여</t>
  </si>
  <si>
    <t>종료 사실·시각·안내 문구. 홈으로. 대화 인용 상세·추천 목표 없음</t>
  </si>
  <si>
    <t>12, 21</t>
  </si>
  <si>
    <t>발송 요청·전달·최신 상태 재조회</t>
  </si>
  <si>
    <t>C-F-08, C-P-04, C-P-06</t>
  </si>
  <si>
    <t>서버의 감지와 푸시 발송 요청을 부모 앱 실행 여부와 독립적으로 수행한다. 발송 요청을 실제 수신·읽음으로 표시하지 않는다.</t>
  </si>
  <si>
    <t>동일 내용 반복·속도 조절과 목표 행동의 판단 단서를 추가하는 설명을 구분한다. 단서를 추가하지 않은 반복·속도 조절을 자동으로 Cue로 집계하지 않는다. 목표 단서를 제공했다면 도움 제공으로 기록하며 도움 동의 원칙(FR-E08)을 적용한다. 첫 반응 전 처리는 FR-E07을 따른다.</t>
  </si>
  <si>
    <t>같은 내용의 반복을 Cue로 집계하지 않고, 목표 단서가 추가된 설명을 도움 없음으로 기록하지 않는다. 요청 문구만으로 분류하지 않고 실제 제공 내용을 구분한다.</t>
  </si>
  <si>
    <t>앱이 닫혀 있어도 OS 조건하에 수신 가능해야 하나 즉시 전달을 보장하지 않는다. 알림 선택·앱 재진입 시 최신 상태를 조회하여 이미 종료된 활동이면 해당 종료 상태로 연결한다. 오래된 알림 본문만으로 활동 상태를 되돌리지 않는다.</t>
  </si>
  <si>
    <t>FR-E05</t>
  </si>
  <si>
    <t>기기 안내 · 결정 필요</t>
  </si>
  <si>
    <t>고정 안내</t>
  </si>
  <si>
    <t>확인된 음성 대화 장애 시 아동에게 고정 안내를 들려줄 수 있다. 음성 모델 연결만 장애면 아동 서비스가 기기 연결로 보내고, 기기 연결 장애면 아동 기기에 미리 받아 둔 안내를 재생한다. 정상 연결에서 생성한 대화 응답을 기술 안내로 대체 재생하지 않는다.</t>
  </si>
  <si>
    <t>아동 종료 의도 인식</t>
  </si>
  <si>
    <t>두 경우 모두 기술적으로 가능하다(구조 결정). 제공 여부·문구·횟수는 결정 필요이며 v0.8.2와 같이 확정 전에는 제공을 약속하지 않는다. 장애 중 생성 음성 제공은 보장하지 않는다. 제공하지 않기로 하면 부모 앱에서 확인된 상황과 전달 필요성을 안내한다.</t>
  </si>
  <si>
    <t>결정 완료</t>
  </si>
  <si>
    <t>C-F-10, C-P-10, FR-A09, FR-E10, FR-F14</t>
  </si>
  <si>
    <t>D-CON-01 실제 연결 구조</t>
  </si>
  <si>
    <t>아동의 현재 발화와 대화 맥락에서 실제 활동 종료 의도를 인식한다. 기본 표현 “무중아 그만할래”와 해당 아동의 저장된 추가 종료 표현을 보조 정보로 활용한다. 등록 문장의 정확한 일치나 호출어+명령어 조합을 종료의 유일한 조건으로 두지 않는다. 미등록 표현도 종료 의도가 명확하면 처리하고 역할 속 대사·상대 발화·단순 주제 거부·쉬고 싶다는 말과 구분한다. 기기 재생 음성을 아동의 종료 요청으로 취급하지 않는다. 종료 의도가 명확하지 않은 경우 종료라고 단정하지 않고 짧게 확인한다. 실제 종료 의도를 확인하면 FR-F14에 따라 대기 응답을 취소하고 FR-E10으로 마무리한다. 부모 앱 종료(FR-B07)와 시간 가드레일(FR-F18)도 별도로 적용한다.</t>
  </si>
  <si>
    <t>아동 기기↔아동 서비스(기기 연결), 아동 서비스↔GPT Live(음성 모델 연결, 서버 중계), 부모 앱↔보호자 서버(부모 앱 연결)로 확정. 아동 기기의 GPT Live 직접 연결은 두지 않는다.</t>
  </si>
  <si>
    <t>기본·추가 표현과 말이 다르더라도 명확한 종료 의도를 처리한다. 대사·기기 재생 음성·주제 거부를 오인해 종료하지 않는다. 건너뛰기 음성 제어는 제공하지 않는다. 아동 쉬기 기능의 제공·진입·재개는 결정 필요이며 기술 복구 재개와 구분한다. 종료 확정 후 이전 응답이 이어서 재생되지 않는다.</t>
  </si>
  <si>
    <t>결정일 2026-10-06. 근거: 2-Spring 아키텍처 v0.4(아동 서비스 경유 구조). 휴대폰 핫스팟 의존은 기기 연결 장애로 처리한다.</t>
  </si>
  <si>
    <t>FR-E06</t>
  </si>
  <si>
    <t>D-CON-02 필수 관리 연결 범위</t>
  </si>
  <si>
    <t>연습 안내와 상황 제시</t>
  </si>
  <si>
    <t>기기의 음성·상태·명령이 하나의 기기 연결로 오가므로 별도 관리 연결 범위를 정할 필요가 없다.</t>
  </si>
  <si>
    <t>결정일 2026-10-06. 아동 서비스–보호자 서버 간 전달 중단은 기기 상태 확인 불가로 표시한다(공통규칙 ‘서버 간 상태 미수신’).</t>
  </si>
  <si>
    <t>08 연습 진행</t>
  </si>
  <si>
    <t>11, 20, 21</t>
  </si>
  <si>
    <t>ADR 값</t>
  </si>
  <si>
    <t>C-P-01~03</t>
  </si>
  <si>
    <t>D-CON-03 장애 판정 시간</t>
  </si>
  <si>
    <t>만들어진 상황임과 AI의 역할을 음성으로 안내하고, 상황과 상대 역할의 말을 음성으로 제공한다.</t>
  </si>
  <si>
    <t>자유대화와 연습의 시작 안내 문구가 다르다.</t>
  </si>
  <si>
    <t>기기 연결·음성 모델 연결·부모 앱 연결별 장애를 확인하는 시간·증빙 기준. 기기 연결·음성 모델 연결 장애는 아동 서비스가 판정한다.</t>
  </si>
  <si>
    <t>FR-E07</t>
  </si>
  <si>
    <t>4분+2분 공백 가드레일과 별개로 정하며 오탐·지연 시나리오로 확인한다. 요구사항에는 원칙만 두고 값은 ADR에서 정한다.</t>
  </si>
  <si>
    <t>결과 표시 제거. 종료 사실·시각만 보존</t>
  </si>
  <si>
    <t>16</t>
  </si>
  <si>
    <t>D-CON-04 상태 정보 유효시간</t>
  </si>
  <si>
    <t>자유대화 중단·부분 종료</t>
  </si>
  <si>
    <t>첫 반응 수집</t>
  </si>
  <si>
    <t>마지막 상태가 최신이라고 인정되는 시간과 오래된 상태 표시 기준은 ADR에서 정한다.</t>
  </si>
  <si>
    <t>FR-A10, FR-B10, FR-E11, FR-F01, FR-F11, FR-F14, FR-F18</t>
  </si>
  <si>
    <t>확인 시각·수신 시각·지연 이벤트를 구분하는 표시 기준을 남긴다. 요구사항에는 원칙만 두고 값은 ADR에서 정한다.</t>
  </si>
  <si>
    <t>기기 종료 확인된 불완전 종료 / 기록 확보 범위</t>
  </si>
  <si>
    <t>확인된 종료 사유·시각·기록 유무. 기록 보기→27. 기기 확인 없는 요청은12/14에 확인 안 됨 상태 유지</t>
  </si>
  <si>
    <t>C-P-04, 05</t>
  </si>
  <si>
    <t>기회 트리거(예: 상대의 중단 요청) 발화 후 아동이 먼저 반응할 때까지 힌트·정답·시범을 주지 않는다. 이 동안 같은 말 반복·속도 조절은 할 수 있다(FR-E04). 기회 트리거는 승인 대본으로 출력한다.</t>
  </si>
  <si>
    <t>D-CON-05 복구 대기시간·재시도 횟수</t>
  </si>
  <si>
    <t>첫 반응 전 Cue 출력이 차단된다.</t>
  </si>
  <si>
    <t>연결 종류별 복구 대기시간·재시도 횟수·실패 확정 조건은 ADR에서 정한다.</t>
  </si>
  <si>
    <t>FR-E08</t>
  </si>
  <si>
    <t>무한 복구 대기/중복 재생 방지 및 종료 확인 미수신 시 표시까지 결정한다. 요구사항에는 원칙만 두고 값은 ADR에서 정한다.</t>
  </si>
  <si>
    <t>D-CON-06 알림 발생 기준</t>
  </si>
  <si>
    <t>도움 제공과 재시도</t>
  </si>
  <si>
    <t>장애·상태 미수신·회복·종료별 알림 발생 기준과 중복 억제 기준은 ADR에서 정한다.</t>
  </si>
  <si>
    <t>서버 감지 근거·발송 요청·실제 전달의 구분과 사건별 문구를 연결한다. 요구사항에는 원칙만 두고 값은 ADR에서 정한다.</t>
  </si>
  <si>
    <t>C-P-06, 07</t>
  </si>
  <si>
    <t>D-CON-07 복구 후 재개 조건</t>
  </si>
  <si>
    <t>첫 반응이 목표 행동과 연결되지 않으면 아동 동의('같이 살펴볼까?')를 구한 뒤 상대의 말을 다시 짚어주는 단서를 준다. 도움 내용은 행동별 대본이 아니라 대화 중에 상황에 맞게 실시간으로 만들어 제공한다. 정답 문장은 알려주지 않는다. 거부하면 이어가지 않는다. 도움 후 재시도는 1회.</t>
  </si>
  <si>
    <t>아동 서비스의 활동 상태 및 대화 맥락이 정상 복원됐다는 판정 조건은 ADR에서 정한다.</t>
  </si>
  <si>
    <t>제공한 도움 내용과 동의 응답이 기록된다. 기록된 도움 내용에서 정답 문장 포함 여부를 확인할 수 있다.</t>
  </si>
  <si>
    <t>종료 여부·미해결 종료 요청·세션 일치·응답 순서·중복 방지와 재개 불가 시 종료 확인 처리를 정한다. 미해결 종료 요청이 있으면 재개하지 않는 원칙을 유지한다. 요구사항에는 원칙만 두고 값은 ADR에서 정한다.</t>
  </si>
  <si>
    <t>FR-E09</t>
  </si>
  <si>
    <t>새 상황 제시</t>
  </si>
  <si>
    <t>D-CON-08 기기 자체 중지 지원</t>
  </si>
  <si>
    <t>기기 연결이 끊기면 아동 기기가 재생을 스스로 멈추고, 아동 서비스가 기술적 일시 정지·복구·종료를 실행한다.</t>
  </si>
  <si>
    <t>결정일 2026-10-06. 정지·종료 판단을 아동 서비스가 하므로 기기 자체 감지 정책 제안은 필요 없다(공통규칙 ‘기기 연결 장애 대응’).</t>
  </si>
  <si>
    <t>C-P-08, 09</t>
  </si>
  <si>
    <t>같은 활동 안에서 앞에서 쓰지 않은, 소재만 다르고 목표 행동·상대 관계·기회 조건은 같은 상황을 추가 도움 없이 제시한다. 이전 활동에서 노출된 상황의 재사용 방지는 FR-F08을 따른다.</t>
  </si>
  <si>
    <t>결정 필요 (일부 결정)</t>
  </si>
  <si>
    <t>같은 활동 안에서 같은 상황이 재사용되지 않고 Cue가 출력되지 않는다.</t>
  </si>
  <si>
    <t>D-CON-09 고정 안내 제공</t>
  </si>
  <si>
    <t>기기 연결·음성 모델 연결 장애와 원인 미확인을 구분. 상세 결과는27. 부모 앱만 장애는 종료 사유 아님</t>
  </si>
  <si>
    <t>FR-E10</t>
  </si>
  <si>
    <t>고정 안내는 기술적으로 가능하다(음성 모델 연결 장애: 아동 서비스가 전달 / 기기 연결 장애: 기기에 미리 받아 둔 안내). 제공 여부·문구·횟수는 미확정.</t>
  </si>
  <si>
    <t>17</t>
  </si>
  <si>
    <t>팀이 제공 여부를 결정하며 미제공 시 대체 부모 안내를 정한다. 결정 전에는 v0.8.2와 같이 제공을 약속하지 않는다.</t>
  </si>
  <si>
    <t>자유대화 종료</t>
  </si>
  <si>
    <t>FR-B08, FR-F01, FR-F11</t>
  </si>
  <si>
    <t>마무리</t>
  </si>
  <si>
    <t>정상 종료 / 기록 정리 상태 안내</t>
  </si>
  <si>
    <t>결정 필요</t>
  </si>
  <si>
    <t>오늘 자유대화 기록 보기 → 기록 탭 27. 홈으로</t>
  </si>
  <si>
    <t>D-CON-10 공백 타이머 상태 전환</t>
  </si>
  <si>
    <t>장애·미확인·기술 정지·아동 쉬기로 전환될 때 공백 타이머의 세부 초기화/재시작 방식은 미확정. 측정 주체는 아동 서비스로 결정(구조 결정).</t>
  </si>
  <si>
    <t>미확인 시간을 소급 누적하지 않는 원칙과 정상 연결에서 입증된 연속 공백만 계산하는 수용 기준을 유지한다.</t>
  </si>
  <si>
    <t>C-P-11, C-F-10</t>
  </si>
  <si>
    <t>정상 마무리 또는 명확한 아동 종료 의도를 확인하면 기존 출력을 멈추고 친근한 승인 마무리 문구를 1회만 재생한다. 종료 요청·종료 의도 확인부터 종료 확인까지는 “종료 처리 중”이며 이 동안 새 대화 응답을 만들지 않는다. 종료 이후 대화 응답은 재생하지 않는다. 확인된 음성 대화 연결 장애 중에는 네트워크 대화·마무리 응답을 새로 생성하거나 지연된 응답을 재생하지 않는다. 부모 앱 연결 장애만으로 정상 기기 대화·마무리를 중단하지 않는다. 장애 때의 고정 안내는 FR-E11에 따라 기술적으로 제공할 수 있으나 제공 여부·문구·횟수는 결정 필요이며 확정 전에는 제공을 약속하지 않는다. 아동 기기에 완료·재시작 버튼은 두지 않는다. NFR-01·NFR-09를 따른다.</t>
  </si>
  <si>
    <t>D-CON-11 아동 쉬기 적용</t>
  </si>
  <si>
    <t>정상 마무리 음성은 승인 목록을 사용하고 1회만 재생한다. 음성 대화 연결 장애·복구에서 이전 응답이 이어서 재생되지 않는다. 고정 안내는 제공 여부·문구·횟수가 확정된 범위에서만 제공하고 부모 앱 연결 장애를 기기 음성 장애로 취급하지 않는다. 종료 처리 중에는 새 대화 응답이 생성·재생되지 않는다.</t>
  </si>
  <si>
    <t>기존 13 미사용 상태에서 아동 쉬기 기능을 다시 적용할지는 미확정.</t>
  </si>
  <si>
    <t>FR-E11</t>
  </si>
  <si>
    <t>기술적 일시 정지와 정의를 분리하고, 별도 결정 전 쉬기·건너뛰기·재개 제어를 확정 기능으로 추가하지 않는다.</t>
  </si>
  <si>
    <t>결정 관리 · 확정 요구</t>
  </si>
  <si>
    <t>설계 결정 추적</t>
  </si>
  <si>
    <t>연결 대상별 장애 대응·복구</t>
  </si>
  <si>
    <t>확정 구조·결정 필요·ADR 값을 구분해 표시하고 결정이 나면 관련 D-CON 항목에 결정 상태·결정일·책임자·근거 문서/검증 결과와 영향 FR·화면을 기록한다.</t>
  </si>
  <si>
    <t>미정 값이나 기능 지원을 임의로 채우지 않는다. 결정 전에도 아래 완료 기준의 불확정 상태 표시·오표시 방지 원칙은 검수할 수 있다. 상세 절차·수치·환경은 별도 테스트 계획/ADR로 연결한다.</t>
  </si>
  <si>
    <t>12, 16, 21, 24</t>
  </si>
  <si>
    <t>FR-A06, FR-A10, FR-B07, FR-F01, FR-F18, FR-F14</t>
  </si>
  <si>
    <t>검수 완료 기준</t>
  </si>
  <si>
    <t>AC-CON-01 앱 종료</t>
  </si>
  <si>
    <t>[확정 요구] 부모 앱 연결만 장애면 기기의 정상 대화·기록을 종료하지 않는다. 기기 연결 장애와 음성 모델 연결 장애(음성 대화 장애)는 두 연결의 끝점인 아동 서비스가 직접 확인한다. 장애가 확인되면 아동 서비스는 활동을 기술적으로 일시 정지하고 복구를 시도하며 기존·지연 응답 전달과 새로운 대화용 음성 전송을 중지한다. 기기 연결이 끊기면 아동 기기는 받아 둔 응답 재생을 스스로 멈추고, 연결이 복구되어도 끊기기 전 응답을 이어서 재생하지 않는다. 종료 전이며 종료 요청이 남아 있지 않고 활동 상태·대화 맥락을 정상 복원할 수 있을 때만 재개한다. 복구 실패·복원 불가 시 아동 서비스가 기술 문제로 활동을 종료(종료 확인)하고 보호자 서버에 종료 사실과 확보 기록 범위를 전달하며, 부모 앱은 종료 확인 여부·확보 기록 범위를 구분한다. 종료 판단을 아동 서비스가 하므로 기기 연결이 끊긴 상태에서도 종료를 확정할 수 있다. 보호자 서버가 아동 서비스의 상태를 받지 못하는 것은 “기기 상태 확인 불가”이며 이것만으로 대화 중단·종료로 판정하지 않는다. 아동에게 들려줄 고정 안내는 기술적으로 가능하다(음성 모델 연결만 장애면 아동 서비스가 기기 연결로 전달, 기기 연결 장애면 아동 기기에 미리 받아 둔 안내 재생). [결정 필요] 고정 안내의 제공 여부·문구·횟수. [ADR] 장애 판정 시간·복구 대기시간·재시도 횟수·재개 판정 조건. 불명확 발화·침묵·마이크 문제·AI 지연을 연결 장애로 일괄 판정하지 않고 FR-F10·F18을 따른다.</t>
  </si>
  <si>
    <t>기기 연결·음성 모델 연결이 정상인 활동에서 부모 앱을 닫아도 대화·기록이 계속되고 앱 종료 자체의 장애 알림이 발생하지 않는다.</t>
  </si>
  <si>
    <t>재진입 시 같은 세션의 최신 상태와 실제 확보된 이력이 조회된다. FR-F01·A10·B06·C06.</t>
  </si>
  <si>
    <t>기기 연결 장애, 음성 모델 연결 장애, 부모 앱 연결 장애, 보호자 서버 상태 미수신을 각각 주입한다. 기기 연결·음성 모델 연결 장애에서는 아동 서비스가 기술적 일시 정지를 기록하고 12/21에 “대화 연결 복구 중”이 표시되며 이전 응답이 이어서 재생되지 않는다. 보호자 서버 상태 미수신에서는 “기기 상태 확인 불가”와 마지막 확인 시각이 표시되고 종료로 처리되지 않는다. 복구 성공 테스트는 종료 전이며 종료 요청이 없고 상태·맥락 복원 조건을 충족한 경우에만 재개한다. 복구 실패/복원 불가는 아동 서비스의 종료 확인 후에만 종료 완료로 표시한다. 이미 종료된 활동은 재개하지 않는다. ADR로 정한 시간·횟수로 시험하고, 고정 안내는 제공이 결정된 경우에만 그 문구·횟수로 시험한다.</t>
  </si>
  <si>
    <t>FR-F01</t>
  </si>
  <si>
    <t>AC-CON-02 부모 앱만 오프라인</t>
  </si>
  <si>
    <t>F 서버·시스템</t>
  </si>
  <si>
    <t>기기 연결·음성 모델 연결을 유지한 채 부모 앱만 서버와 통신 불가로 만들면 활동이 종료되지 않고 앱에 조회 불가 문구·마지막 확인 시각·상태가 표시된다.</t>
  </si>
  <si>
    <t>세션 상태 관리</t>
  </si>
  <si>
    <t>종료 즉시 결과·해석·추천 목표 표시 제거</t>
  </si>
  <si>
    <t>미수신 시간을 대화 중단으로 채우지 않고 조작 요청 실패/미확인을 성공으로 표시하지 않는다. 복구 시 최신 상태 재조회. FR-A06·B06·C06·F01·F18.</t>
  </si>
  <si>
    <t>FR-C01, FR-C02, FR-C03, FR-D02, FR-D04, FR-F06, FR-F19</t>
  </si>
  <si>
    <t>04, 11, 12, 14, 15, 16, 17, 21, 22, 23, 24, 27</t>
  </si>
  <si>
    <t>기록 없음 / 기록 기반 / 근거 부족</t>
  </si>
  <si>
    <t>AC-CON-03 음성 모델 연결 장애</t>
  </si>
  <si>
    <t>FR-A02, FR-A07, FR-A10, FR-B06, FR-C06, FR-E07, FR-F18</t>
  </si>
  <si>
    <t>연령 기반 또는 기록 기반 추천과 기준·이유 표시. 목표 선택 → 20, 다른 목표 선택 → 19</t>
  </si>
  <si>
    <t>아동 서비스가 음성 모델 연결 장애를 확인하면 12·21이 대화 연결 복구 중으로 표시되고 기술적으로 일시 정지되어 기존·지연 응답 전달과 새로운 대화용 음성 전송이 중지된다.</t>
  </si>
  <si>
    <t>아동 서비스의 출력 중지 확인이 없으면 정지 완료로 표시하지 않고 13 쉬는 중으로 전환하지 않는다. 푸시 발송 요청과 고정 안내 제공 여부(결정 필요)를 구분한다. 4분+2분을 장애 타임아웃으로 쓰지 않는다. FR-E11·A10·F18·NFR-06.</t>
  </si>
  <si>
    <t>세션의 실제 활동 상태(시작 요청·안내·진행·기술적 일시 정지·종료 요청·종료 처리 중·기기 종료 확인), 현재 연습 단계, 결과 정리 상태와 연결 대상별 관측 상태를 각각 관리한다. 부모 앱 접속·조회 가능 여부는 활동 상태와 별개다. 앱 닫힘·앱만 오프라인에도 기기 연결·음성 모델 연결이 정상이면 활동·기록을 유지하며 앱 닫힘은 종료·장애 사건이 아니다. 대상별 마지막 상태 확인/서버 수신 시각과 이벤트 발생 시각의 가용 범위, 기기 종료 확인 여부를 보존한다. 재진입·재연결은 같은 아동·세션의 최신 상태와 실제 확보 이력을 동기화하며 오래되거나 중복된 사건이 현재 상태를 되돌리지 않게 한다. 종료 요청이 남아 있거나 종료가 확인된 세션을 복구로 재개하지 않고 미확인 종료 동안 새 세션 시작을 차단한다. 종료 확인은 기록 정리 완료와 구분한다. 아동 정보 수정은 기록 대상에 영향이 없고 종료 표현은 세션 시작 시 설정을 유지한다. 13 아동 쉬기의 적용 여부는 결정 필요이며 기술 정지는12/21에만 표시한다. 진행 중 세션 상태는 아동 서비스가 관리하고 보호자 서버는 전달받은 상태·기록을 통합 저장한다. 아동 서비스와 보호자 서버 간 전달이 중단되면 아동 서비스가 미전달 상태·기록을 보관했다가 다시 전달하며 보관 한계는 ADR에서 정한다. 기기 연결이 끊긴 동안 아동 서비스가 받지 못한 음성은 기록에 없으며 미확인 구간으로 남긴다.</t>
  </si>
  <si>
    <t>앱 종료·앱만 오프라인 시험 중 정상 기기의 활동·기록은 유지되고 앱 재진입 시 같은 세션을 조회한다. 연결별 장애·미확인과 실제 활동을 독립 표시한다. 뒤늦은 진행 이벤트·중복 종료·복구 이벤트가 종료 상태를 되돌리거나 새 활동을 만들지 않는다. 기기 종료 확인 미수신은 미확인으로 유지하고 확보되지 않은 이력을 생성하지 않는다. 아동 서비스–보호자 서버 간 전달이 중단됐다가 재개되면 미전달 상태·기록이 중복 없이 반영된다.</t>
  </si>
  <si>
    <t>AC-CON-04 기기 연결 장애</t>
  </si>
  <si>
    <t>FR-F02</t>
  </si>
  <si>
    <t>기기 연결이 끊기면 아동 기기는 받아 둔 응답 재생을 멈추고, 아동 서비스가 장애를 확인해 12·21에 대화 연결 복구 중을 표시한다. ADR 대기시간 안에 같은 세션 토큰으로 재연결되면 재개 조건에 따라 이어가고, 아니면 아동 서비스가 기술 문제로 종료한다.</t>
  </si>
  <si>
    <t>끊기기 전 응답을 재연결 후 이어서 재생하지 않는다. 기기와 통신이 끊겨도 아동 서비스의 종료 확인으로 종료 완료를 표시할 수 있다. FR-A06·B07·E11·F01·F18.</t>
  </si>
  <si>
    <t>승인 문구 관리</t>
  </si>
  <si>
    <t>10 승인 콘텐츠</t>
  </si>
  <si>
    <t>AC-CON-05 복구 성공</t>
  </si>
  <si>
    <t>종료 전이고 미해결 종료 요청이 없으며 활동 상태·대화 맥락 복원 조건을 충족한 경우에만 같은 세션을 재개한다. 최신 상태·확보한 이력으로 갱신하며 과거 응답이 중복 재생되지 않는다.</t>
  </si>
  <si>
    <t>FR-E01~E11</t>
  </si>
  <si>
    <t>시작 안내, 기회 트리거, 마무리 문구를 버전과 함께 관리하고, 해당 상태에서는 생성형 발화 대신 승인 문구만 출력한다. 도움(Cue)은 대화 중 실시간으로 만든다(FR-E08). 위험 발화 대응 문구는 이번 범위에서 제외한다('제외·이관' 탭 FR-F16).</t>
  </si>
  <si>
    <t>복구 중 종료 요청이 남아 있거나 이미 종료 확정된 세션은 재개하지 않는다. 미확인 구간은 근거 기록이 없으면 미확인으로 남긴다. 세부 복원 판정값은 결정 후 테스트 계획에 연결. FR-E11·F01·F18·NFR-06.</t>
  </si>
  <si>
    <t>세션 중 문구 버전이 바뀌지 않는다.</t>
  </si>
  <si>
    <t>FR-F03</t>
  </si>
  <si>
    <t>AC-CON-06 복구 실패·복원 불가</t>
  </si>
  <si>
    <t>확인된 음성 대화 장애(기기 연결·음성 모델 연결)에서 복구 실패가 확정되거나 맥락 복원이 불가능하면 아동 서비스가 기술 문제로 종료 처리한다. 보호자 서버 상태 미수신만으로 종료하지 않는다.</t>
  </si>
  <si>
    <t>자유대화 주도</t>
  </si>
  <si>
    <t>아동 서비스의 종료 확인 시에만 종료 완료·종료 푸시 문구 표시. 종료 요청 중·종료 확정 세션은 복구만으로 재개하지 않으며 확보 기록·미확인을 구분한다. 대기시간/횟수는 ADR 값으로 검수. FR-E11·F01·A10·NFR-06.</t>
  </si>
  <si>
    <t>FR-B02, FR-B04, FR-E03</t>
  </si>
  <si>
    <t>AC-CON-07 종료 확인 미수신</t>
  </si>
  <si>
    <t>배경 정보와 생활 녹음이 모두 없거나 아동이 다른 이야기를 하면 프로필 관심사·활용 가능한 이전 기록·승인된 일상 질문 은행으로 대화를 이어간다. 대화 역할에 전달하는 정보는 FR-F15를 따른다.</t>
  </si>
  <si>
    <t>입력 없이 시작한 세션이 마무리까지 진행된다.</t>
  </si>
  <si>
    <t>보호자 종료 요청 후 보호자 서버가 아동 서비스의 종료 확인을 수신하지 못하면 종료 요청됨 또는 종료 확인 안 됨을 유지하고 종료 완료·연결 문제 종료 확인 푸시를 표시하지 않는다.</t>
  </si>
  <si>
    <t>FR-F04</t>
  </si>
  <si>
    <t>원격 즉시 종료 보장 문구 없음. 늦게 도착한 종료 확인은 올바른 세션에 반영하고 그 이전 상태로 역전하지 않음. FR-B07·F01·A10·NFR-06.</t>
  </si>
  <si>
    <t>기록 기반 추천에는 실제 근거 연결. 근거 부족 시 연령 기반으로 명시</t>
  </si>
  <si>
    <t>19</t>
  </si>
  <si>
    <t>다른 연습 목표 선택</t>
  </si>
  <si>
    <t>AC-CON-08 공백·장애 경계</t>
  </si>
  <si>
    <t>FR-C02, FR-C03, FR-F06, FR-F19</t>
  </si>
  <si>
    <t>전사 저장</t>
  </si>
  <si>
    <t>지원 목표 목록 / 선택 / 보류</t>
  </si>
  <si>
    <t>기기 연결·음성 모델 연결이 정상인 활동에서 검증 가능한 오디오 공백만 4분+추가 약 2분 가드레일에 반영된다. 장애·미확인·기술 정지·아동 쉬기 시간을 섞어 종료하지 않는다.</t>
  </si>
  <si>
    <t>추천 외 Library·지원되는 개인화 목표 선택 → 20. 뒤로·나중에 선택</t>
  </si>
  <si>
    <t>09 AI 처리</t>
  </si>
  <si>
    <t>정상 연결 복귀 후 과거 미확인 시간 누적이 없어야 하며 앱 종료 자체는 타이머 초기화 사유가 아니다. 세부 전환 정책은 D-CON-10 결정 후 검수. FR-F18·F01.</t>
  </si>
  <si>
    <t>아동 발화를 전사해 저장한다. 원음은 원음 보관 동의(FR-A03)가 있을 때 저장한다. MVP에서는 전사 수정 기능을 두지 않는다. 의미가 불확실한 구간은 불확실로 표시하고, 그 구간만으로 목표 행동 미관찰을 확정하지 않는다(FR-F10).</t>
  </si>
  <si>
    <t>AC-CON-09 지연 알림·지연 이벤트</t>
  </si>
  <si>
    <t>전사가 저장되고 불확실 구간이 표시된다. 원음은 보관 동의가 있을 때만 저장된다.</t>
  </si>
  <si>
    <t>장애 알림이 늦게 도착한 뒤 알림을 선택해도 최신 상태를 다시 조회하여 이미 종료된 활동의 종료 상태로 연결한다.</t>
  </si>
  <si>
    <t>FR-F05</t>
  </si>
  <si>
    <t>발송 요청을 실제 전달로 표시하지 않고 늦은 진행 이벤트가 종료 상태를 되돌리지 않는다. FR-A10·F01·NFR-06.</t>
  </si>
  <si>
    <t>AC-CON-10 보호자 서버 상태 미수신</t>
  </si>
  <si>
    <t>경험 구조화</t>
  </si>
  <si>
    <t>아동 서비스의 활동이 정상인 채 보호자 서버로의 상태 전달만 중단되면 부모 앱에 기기 상태 확인 불가·마지막 확인 시각이 표시되고 활동은 종료되지 않는다.</t>
  </si>
  <si>
    <t>전달 재개 시 보관된 상태·기록이 중복 없이 반영되고 미수신 시간을 대화 중단으로 채우지 않는다. FR-A06·B06·C06·F01·F18.</t>
  </si>
  <si>
    <t>27</t>
  </si>
  <si>
    <t>FR-D02, FR-D05, FR-B04</t>
  </si>
  <si>
    <t>추천을 따를 의무 없음. 미지원 목표 미노출</t>
  </si>
  <si>
    <t>등장인물, 상황, 상대의 말, 아동 반응·설명을 분리하고 보호자 입력/아동 회상 출처를 태깅한다. 생활 녹음을 참고한 정보는 생활 녹음 출처로 별도 구분하며 이번 아동 회상과 혼합하지 않는다. 아동의 의도·감정을 추론해 저장하지 않는다.</t>
  </si>
  <si>
    <t>연습 시작 준비</t>
  </si>
  <si>
    <t>각 내용이 실제 출처인 보호자 입력, 아동 전사 구간 또는 첨부 생활 녹음 자료로 역추적된다. 연습 내용은 상황·반응·도움 기록에 연결된다.</t>
  </si>
  <si>
    <t>FR-A03, FR-A06, FR-C02, FR-C05, FR-E06, FR-F07</t>
  </si>
  <si>
    <t>FR-F06</t>
  </si>
  <si>
    <t>선택 목표 / 연결·동의 확인 / 생성 실패</t>
  </si>
  <si>
    <t>목표 확인 후 별도 시작 → 11 → 21. 준비 취소. 개별 상황 본문 미노출</t>
  </si>
  <si>
    <t>18, 19, 27</t>
  </si>
  <si>
    <t>FR-C01, FR-C02, FR-C03, FR-D02, FR-F19</t>
  </si>
  <si>
    <t>이전 활동 기록이 없으면 아동 연령과 Goal Library의 권장 연령 정보를 이용해 기본 목표를 추천한다. 활용 가능한 자유대화·연습 기록이 있으면 Library 목표와 기록에서 도출된 개인화 목표 중 관련성이 높은 항목을 추천하고 추천 이유·근거 기록을 연결한다. 개인화 목표는 FR-F19의 지원 조건을 충족해야 한다. 기록 상세에서 진입하면 해당 기록을 추천 근거에 반영한다. 기록은 있으나 근거가 부족하면 기록 기반 이유를 만들지 않고 연령 기반 기본 목표로 구분해 제안한다. 추천과 관계없이 다른 지원 목표를 선택할 수 있다.</t>
  </si>
  <si>
    <t>기록 유무와 관계없이 서비스 대상 연령의 아동에게 최소 1개 이상의 선택 가능한 목표가 제공된다. 기록 기반 추천은 실제 근거 기록과 연결되고 연령 기반 추천은 그 기준을 명시한다. 근거 없는 개인화 이유나 지원되지 않는 목표를 노출하지 않는다.</t>
  </si>
  <si>
    <t>FR-F07</t>
  </si>
  <si>
    <t>연습 상황 생성</t>
  </si>
  <si>
    <t>20, 21</t>
  </si>
  <si>
    <t>FR-C05, FR-E06</t>
  </si>
  <si>
    <t>선택 목표에 맞게 상황을 생성하고 기회 트리거·상대 역할·언어 부담을 유지하며 소재를 바꾼다. 개별 상황의 보호자 사전 확인은 없다. 생성 후 목표·트리거 포함 여부와 금지 표현을 자동으로 확인하고, 통과하지 못하면 1회 다시 생성한다. 그래도 통과하지 못하면 연습을 시작하지 않고 보호자에게 안내한다.</t>
  </si>
  <si>
    <t>확인을 통과하지 못한 상황은 아동에게 제공되지 않고, 두 번 실패하면 연습이 시작되지 않으며 보호자에게 안내된다. 실패를 정상 생성으로 표시하지 않는다.</t>
  </si>
  <si>
    <t>FR-F08</t>
  </si>
  <si>
    <t>새 상황 중복 방지</t>
  </si>
  <si>
    <t>N 비기능</t>
  </si>
  <si>
    <t>연습 진행</t>
  </si>
  <si>
    <t>새 상황(FR-E09)에는 이전 활동에서 해당 아동에게 노출된 적 없는 상황만 쓴다. 상황 노출 이력을 아동별로 보관한다.</t>
  </si>
  <si>
    <t>FR-A06, FR-A10, FR-B07, FR-C06, FR-E04, FR-E05, FR-E06, FR-E07, FR-E08, FR-E09, FR-E10, FR-E11, FR-F01, FR-F07, FR-F14, FR-F18</t>
  </si>
  <si>
    <t>이전 활동의 노출 이력과 겹치는 상황이 선택되지 않는다.</t>
  </si>
  <si>
    <t>실제 연습 단계 / 기술적 일시 정지·복구 / 상태 미확인 / 종료 처리 중</t>
  </si>
  <si>
    <t>FR-F09</t>
  </si>
  <si>
    <t>단계·타임라인·연결별 확인 시각 표시. 종료 요청→14. 기기 종료 확인 후 정상22·불완전24. 복구 시 실제 이력만 갱신</t>
  </si>
  <si>
    <t>연습 기록 4단계 분리</t>
  </si>
  <si>
    <t>FR-D02, FR-C08, FR-D05</t>
  </si>
  <si>
    <t>첫 반응, 도움(내용·종류·순서·시각), 도움 후 반응, 새 상황 반응(추가 도움 여부)을 분리한다. 당시 상황·상대 역할·제공 발화 맥락과 연결하고 도움 후 반응이 첫 반응을 덮어쓰지 않게 한다. 미실시 단계는 null과 미실시 사유로 구분한다. 재생 추적 범위는 FR-F14를 따른다.</t>
  </si>
  <si>
    <t>동일 기회의 재시도를 독립 성공으로 바꾸지 않는다. 단계별 실제 기록과 미실시를 구분하고 도움 없는 반복과 Cue 조건을 확인할 수 있다.</t>
  </si>
  <si>
    <t>FR-F10</t>
  </si>
  <si>
    <t>반응 판정</t>
  </si>
  <si>
    <t>FR-E07, FR-E08, FR-F14, FR-F19</t>
  </si>
  <si>
    <t>목표 행동의 기능 충족 여부를 판정하며 예상 문구와 달라도 기능이 같으면 인정한다. 행동의 핵심 기능 정의와 판정 기준은 Goal Library 또는 지원 조건을 충족한 개인화 목표를 등록할 때 함께 정의해 저장한다(FR-F19). 같은 행동에는 같은 핵심 기능 정의를 쓰되, 관계·상황·기회 조건에 따른 판정 조건을 함께 적용한다. 불확실하면 보류하고 인용만 기록한다. 질문 핵심이 전달되지 않거나 발화가 판독 불가한 경우 목표 행동 미관찰로 확정하지 않는다. functional/partial/none/uncertain 값은 해당 장면의 판정이며 능력·진단을 뜻하지 않는다.</t>
  </si>
  <si>
    <t>같은 행동의 판정이 저장된 핵심 기능 정의와 해당 상황의 판정 조건을 따르고, 판정 기준이 없는 행동은 연습 대상으로 제공하지 않는다. 불확실하면 보류로 기록하고 새 상황으로 넘어간다.</t>
  </si>
  <si>
    <t>FR-F11</t>
  </si>
  <si>
    <t>종료 원인과 결과 상태 분리</t>
  </si>
  <si>
    <t>15, 16, 17, 23, 24, 27</t>
  </si>
  <si>
    <t>FR-B08, FR-B10, FR-C07, FR-C08, FR-D02, FR-E01, FR-F18</t>
  </si>
  <si>
    <t>기술 정지는21상태 변형. 13아동쉬기와구분. 미확인/미실시는 실패가 아님. 복구 후 재개 세부 조건 결정 필요</t>
  </si>
  <si>
    <t>활동 종료 사유, 결과 상태, 부족·미실시 사유를 별도로 관리한다(공통규칙 '종료·결과 3축'). 시작 전 미참여 종료는 대화 내용을 저장하지 않고 종료 사실·시각만 남기는 기존 팀 정책을 유지한다. 활동 도중 중단되면 중단 전까지의 기록을 보존한다. 종료 안내에는 종료 사유와 기록 존재 여부를 표시하고 상세 결과·부족·미실시 내용은 기록 상세(27)에서 확인한다. 지속 오디오 공백에 의한 자동 종료를 별도 종료 사유로 보존한다. 확인된 기술 장애가 있으면 기술 문제 원인도 연결한다. 단순 공백으로 끝난 활동을 아동 중단·참여 거부·능력 실패로 추정하지 않는다. 기기 종료 확인 여부·확인 시각·연결 장애의 확인 대상과 기록 확보 범위는 종료 사유와 별도로 관리한다. 서버 요청 접수나 기록 수신 중단만으로 실제 종료를 확정하지 않는다. 기술 종료 사유는 확인된 사실만 쓰고 부모 앱 연결만 장애인 경우는 종료 사유에서 제외한다.</t>
  </si>
  <si>
    <t>종료된 활동에 종료 사유가 있고 결과의 부족 사유와 독립적으로 표현된다. 미참여 원문은 저장하지 않으며 도중 중단 시 중단 전 기록이 남는다. 기기 확인 미수신은 종료 확정과 분리되며 미확인 기록을 아동의 침묵·거부·실패로 바꾸지 않는다.</t>
  </si>
  <si>
    <t>22</t>
  </si>
  <si>
    <t>FR-F12</t>
  </si>
  <si>
    <t>기록 상세·리포트 생성</t>
  </si>
  <si>
    <t>22, 27, 28, 29</t>
  </si>
  <si>
    <t>FR-D02, FR-D05, FR-F05, FR-F09</t>
  </si>
  <si>
    <t>기록 상세(27)와 리포트(28·29)의 문장은 서버에 저장된 구조화 데이터·인용·판정값만으로 만든다. 설명 모델은 수치·원인·효과·새 지원을 만들지 않고 불일치 시 고정 템플릿으로 대체한다. 자유대화·연습 종료 화면(17·23·16·24)에는 상세 결과를 생성해 표시하지 않는다. 결과 정리 상태와 활동 종료 상태는 구분한다.</t>
  </si>
  <si>
    <t>연습 기록 정리 중</t>
  </si>
  <si>
    <t>기록 상세와 리포트의 모든 인용이 저장 전사·출처와 일치한다. 미실시·자료 부족을 만들어 채우지 않고 종료 안내에 상세 결과가 노출되지 않는다.</t>
  </si>
  <si>
    <t>FR-F14</t>
  </si>
  <si>
    <t>FR-C07, FR-F01, FR-F12, FR-F17</t>
  </si>
  <si>
    <t>result_pending / 생성 실패</t>
  </si>
  <si>
    <t>활동 종료·기록 정리 상태 표시. 홈으로. 정리 완료 → 23, 실패 시 기록 확인·재시도 연결 → 27</t>
  </si>
  <si>
    <t>재생·중단 처리</t>
  </si>
  <si>
    <t>12, 14, 16, 21, 24</t>
  </si>
  <si>
    <t>FR-E05, FR-E11, FR-B07, FR-F01, FR-F18</t>
  </si>
  <si>
    <t>기기의 실제 재생 구간을 기록한다. 음성 대화 연결 장애에 따른 기술적 일시 정지나 실제 종료 실행 시 기존 출력·대기 응답·Cue를 멈추고 지연 응답을 폐기한다. 새 대화용 음성 전송도 FR-E11에 따라 중지하며 복구 통신과 구분한다. 질문 핵심이 전달되지 않았으면 해당 기회를 무효로 처리하고 아동 실패로 평가하지 않는다. 복구 시 현재 세션·활동 상태·맥락이 유효한지 확인한 뒤 허용된 새 응답만 사용하고 과거 대화 음성을 밀어서 재생·전송하지 않는다. 종료 요청과 기기 실행 확인은 FR-B07에 따라 분리한다. 고정 안내는 대화 응답과 구분하며 제공 여부·문구·횟수는 결정 필요다(FR-E11).</t>
  </si>
  <si>
    <t>음성 장애·수동/자동 종료·복구·재연결·중복 응답 시험에서 이전 출력·Cue가 다시 재생되지 않는다. 종료 요청 중이나 종료된 세션은 복구만으로 재개되지 않는다. 질문 핵심 미전달과 확보되지 않은 반응을 실패로 기록하지 않는다. 기기 중지 확인이 없으면 원격 중지 완료로 표시하지 않는다.</t>
  </si>
  <si>
    <t>FR-F15</t>
  </si>
  <si>
    <t>역할별 지식 분리</t>
  </si>
  <si>
    <t>FR-E03, E07</t>
  </si>
  <si>
    <t>대화 역할(친구 역할 등)에는 판정 기준, 보호자 입력 원문, 이전 판정 결과를 전달하지 않는다.</t>
  </si>
  <si>
    <t>역할 지식 누출 시험이 통과한다.</t>
  </si>
  <si>
    <t>FR-F17</t>
  </si>
  <si>
    <t>결과 생성 재시도</t>
  </si>
  <si>
    <t>22, 27</t>
  </si>
  <si>
    <t>활동 기록은 있으나 기록 상세 생성이 최종 실패하면 기록 상세(27)에서 실패 사실을 구분해 표시하고 보호자가 생성을 다시 요청할 수 있다. 연습 기록 정리 중(22)에서도 정리 상태·실패와 기록 이동을 안내한다. 기존 대화·연습 기록을 삭제하거나 결과를 중복 생성하지 않는다.</t>
  </si>
  <si>
    <t>결과 생성 실패 상태에서 다시 시도하면 같은 활동의 결과가 한 번만 생성되고 원본 기록은 바뀌지 않는다.</t>
  </si>
  <si>
    <t>활동 진행과 분리. 종료 버튼·상세 결과 없음</t>
  </si>
  <si>
    <t>23</t>
  </si>
  <si>
    <t>연습 종료</t>
  </si>
  <si>
    <t>FR-C07, FR-F01, FR-F11</t>
  </si>
  <si>
    <t>FR-F18</t>
  </si>
  <si>
    <t>정상 종료</t>
  </si>
  <si>
    <t>오늘 연습 기록 보기 → 기록 탭 27. 홈으로</t>
  </si>
  <si>
    <t>대화 진행·연결 관측 상태 판정</t>
  </si>
  <si>
    <t>FR-B06, FR-C06, FR-A10, FR-F01, FR-E11, FR-F14</t>
  </si>
  <si>
    <t>활동 진행 사실과 연결 관측 사실을 구분해 타임라인에 반영한다. 음성 대화 장애(기기 연결·음성 모델 연결) 확인, 보호자 서버 상태 미수신, 부모 앱 최신 조회 불가, 아동 침묵, 마이크 문제, AI 응답 지연을 근거에 따라 구분한다. 근거가 없으면 원인·중단을 추정하지 않는다. 연결 대상별 마지막 확인 시각을 관리하며 정보 유효시간 이후에는 마지막 상태를 현재 정상으로 표시하지 않는다(유효시간은 ADR). 재연결 후 실제 확보 이력만 보완하고 미확인 구간은 유지한다. 기존 이유 없는 실제 오디오 공백 4분 판정·추가 약 2분(기본 2분) 종료 기준은 기기 연결·음성 모델 연결이 정상이고 공백을 직접 확인할 수 있는 활동 진행 구간에만 적용한다. 확인된 장애·상태 미확인·기술적 일시 정지·아동 쉬기 시간을 공백에 합산하거나 4분+2분을 장애 판정·복구 타임아웃으로 재사용하지 않는다. 침묵만으로 장애·거부·능력 실패를 판단하지 않는다. 앱 닫힘·앱만 조회 실패는 아동 서비스의 정상 공백 측정을 초기화하지 않지만 보호자 서버/앱 수신 공백을 대화 공백으로 대신 세지 않는다. 연속성이 확인되지 않은 구간을 이어붙여 종료하지 않는다. 오디오 공백은 아동 서비스가 기기 연결로 받은 음성을 기준으로 측정한다. 정상 대화 복원 시 공백 누적 초기화와 미확인 구간 전후의 세부 타이머 전환은 결정 필요다. 기기 자동 종료 확인 후에만 완료 알림과16/24를 표시한다.</t>
  </si>
  <si>
    <t>기기 연결·음성 모델 연결이 정상이고 확인 가능한 연속 공백은4분에 공백 상태,추가 기본2분에 종료 처리를 검증하며 기기 확인 후 완료한다. 앱만 오프라인·보호자 서버 상태 미수신·음성 대화 장애 시간을 공백으로 대체한 잘못된 자동 종료가 없어야 한다. 장애/미확인 경계 전후 공백의 연속성이 증명되지 않으면 합산하지 않는다. 재연결 기록 일부만 수신한 경우 남은 구간은 미확인이다. 마이크 문제·AI 지연·침묵을 일괄 연결 장애로 표시하지 않는다. 별도 장애/복구 시간은 ADR 값으로 독립 기준을 두어 시험한다.</t>
  </si>
  <si>
    <t>FR-F19</t>
  </si>
  <si>
    <t>FR-C01, FR-C02, FR-C03, FR-F06, FR-F07, FR-F10</t>
  </si>
  <si>
    <t>서비스가 지원하는 기본 연습 목표(Goal Library)와 기록에서 도출된 아동별 개인화 목표를 관리한다. 각 목표에는 이름·설명, 권장 연령대, 핵심 기능 정의, 연습 기회 조건, 상황 생성 조건, 반응 판정 기준을 포함한다. 기록 없는 사용자는 Library 기준 연령 추천, 기록 있는 사용자는 Library와 개인화 목표를 함께 추천 대상으로 사용한다. 지원 조건을 구성하지 못한 목표는 선택 목록에 표시하지 않는다. 실제 목표 목록과 연령 구간은 콘텐츠 정책에서 별도 확정한다. 지원 조건을 충족한 개인화 목표는 기존 정책에 따라 사람의 별도 검토 없이 보호자에게 표시한다.</t>
  </si>
  <si>
    <t>선택 가능한 모든 목표가 상황 생성부터 반응 기록·결과 생성까지 동작한다. 행동 정의·기회 조건·상황 생성 조건·판정 기준이 빠진 목표는 제공하지 않는다. 기록 없이도 서비스 대상 연령에 맞는 기본 목표를 선택할 수 있다.</t>
  </si>
  <si>
    <t>NFR-01</t>
  </si>
  <si>
    <t>NFR</t>
  </si>
  <si>
    <t>3. 구조 결정 반영 (아동 서비스·보호자 서버 분리)</t>
  </si>
  <si>
    <t>표현 제한</t>
  </si>
  <si>
    <t>첫 반응·도움·재시도·새 상황 결과는 27에서 확인</t>
  </si>
  <si>
    <t>13 안전·품질</t>
  </si>
  <si>
    <t>24</t>
  </si>
  <si>
    <t>연습 부분 종료</t>
  </si>
  <si>
    <t>FR-A10, FR-C08, FR-E11, FR-F01, FR-F11, FR-F14, FR-F18</t>
  </si>
  <si>
    <t>진단(SCD/ASD), 치료효과, 사회성 점수·등급·향상률, 핵심 원인, 학교 일반화 단정, 아동 의도·감정 단정 표현을 어느 화면·리포트·음성에도 생성하지 않는다.</t>
  </si>
  <si>
    <t>기기 종료 확인된 부분 종료 / 기록된 단계·미확인 범위</t>
  </si>
  <si>
    <t>금지 표현 목록(공통규칙 '표시·생성 금지') 기반 시험이 통과한다.</t>
  </si>
  <si>
    <t>종료 사유·기록된 단계 유무. 기록 보기→27. 종료 확인 미수신이면21/14상태 유지</t>
  </si>
  <si>
    <t>NFR-04</t>
  </si>
  <si>
    <t>아동 기기는 세션 토큰으로 아동 서비스에만 연결하고 아동 서비스가 GPT Live를 서버 간 연결로 중계한다. 기기 검색·등록·페어링은 두지 않는다. 기록은 모두 보호자 서버에 통합 저장한다.</t>
  </si>
  <si>
    <t>최소 정보 전송</t>
  </si>
  <si>
    <t>연결은 기기 연결·음성 모델 연결·부모 앱 연결로 구분한다. 음성 대화 장애는 아동 서비스가 직접 확인하고, 보호자 서버의 상태 미수신은 기기 상태 확인 불가로만 표시한다. ‘관리 연결만 장애’ 상태는 없어졌다.</t>
  </si>
  <si>
    <t>외부 모델 공급자에는 각 처리에 필요한 최소 정보만 보낸다. 대화 모델(대화 역할)에 보내지 않는 정보는 FR-F15를 따른다.</t>
  </si>
  <si>
    <t>공급자 요청 로그에 처리 목적 밖의 필드가 없다.</t>
  </si>
  <si>
    <t>종료 요청과 종료 확인을 분리하고 그 사이를 종료 처리 중으로 표시한다. 종료 확인은 아동 서비스가 하므로 기기 연결이 끊겨도 종료를 확정할 수 있다. 푸시 발송·알림 선택 시 재조회 규칙은 유지한다.</t>
  </si>
  <si>
    <t>NFR-06</t>
  </si>
  <si>
    <t>4분+기본 2분은 정상 연결에서 아동 서비스가 확인한 실제 공백에만 적용한다. 장애·미확인 시간을 합산하지 않으며 장애 판정·복구 시간은 ADR 값이다.</t>
  </si>
  <si>
    <t>중단 안정성</t>
  </si>
  <si>
    <t>4. v1.0 결정 복원·팀 결정 유지·검수</t>
  </si>
  <si>
    <t>FR-B07, FR-E11, FR-F14, FR-F18</t>
  </si>
  <si>
    <t>v1.0 결정 복원: 로그인 상태 유지(FR-A01), 참여 전 준비 취소 시 취소 사실·시각만 기록(활동 시작 조건), 동의 철회 전 기록 유지·철회 후 도착 자료 미저장(FR-A08), 결과 상태 ‘생성 실패’, 기본 종료 표현 ‘무중아 그만할래’.</t>
  </si>
  <si>
    <t>확인된 음성 대화 연결 장애의 기술적 일시 정지 및 실제 종료 실행 후 기존 대화 출력·지연 응답·Cue의 재생과 새로운 대화용 음성 전송을 막는다. 앱 접속 여부와 별도로 아동 서비스가 중단 처리를 수행하며, 기기 연결이 끊기면 아동 기기도 받아 둔 응답 재생을 스스로 멈춘다. 재연결 시 오래된 명령·중복 이벤트가 다른 세션이나 이미 종료된 활동에 적용되지 않게 한다. 종료 요청이 남아 있거나 종료가 확인된 활동은 복구만으로 재개하지 않는다. 통신 장애 중 원격 즉시 종료를 보장하지 않으며 요청 접수와 실제 기기 중지·종료 확인을 FR-B07에 따라 구분한다. 고정 안내의 제공 여부·문구·횟수는 결정 필요이며 이를 대화 응답 재생 허용으로 해석하지 않는다.</t>
  </si>
  <si>
    <t>기기 연결 장애·음성 모델 연결 장애·보호자 서버 상태 미수신·부모 앱만 오프라인·종료 확인 미수신·복구 이벤트 역전·중복 요청을 각각 시험한다. 과거 응답 재생·종료 요청 중이거나 종료가 확인된 활동의 자동 재개·다른 세션 종료가 발생하지 않고 기기 확인 없는 원격 종료 완료 표시는 없다. 고정 안내 제공 정책이 확정되기 전에는 해당 안내 시나리오를 검수 완료로 표시하지 않는다.</t>
  </si>
  <si>
    <t>팀 결정은 v0.8.2 유지: 종료 의도 인식 방식, 쉬기·재개 미제공(13 적용 결정 필요), 4분+2분 공백 자동 종료, 아동용 화면 범위 밖, 데이터 부족 리포트(FR-B12) 미도입, 추가 종료 표현 개수·길이 제한 없음.</t>
  </si>
  <si>
    <t>NFR-09</t>
  </si>
  <si>
    <t>D-CON: 01·02·08 결정 완료, 03~07 ADR 값, 09 고정 안내 제공 여부·10 공백 타이머 전환·11 아동 쉬기 적용은 결정 필요. AC-CON-01~10으로 검수한다.</t>
  </si>
  <si>
    <t>참여 압박 금지</t>
  </si>
  <si>
    <t>고정 안내는 구조상 기술적으로 가능해졌으나 제공 여부·문구·횟수는 결정 필요. 13 아동 쉬기는 12·21 기술 정지와 구분한다.</t>
  </si>
  <si>
    <t>알림·종료·기록이 같은 세션에 연결. 기기 상태 확인 불가를 실제 대화 중단으로 단정하지 않음</t>
  </si>
  <si>
    <t>25</t>
  </si>
  <si>
    <t>일상 지원</t>
  </si>
  <si>
    <t>연속 이용 보상, 완료율 압박, 중단 만류, 재촉 문구를 앱과 기기 어디에도 두지 않는다. 완료율·대화 길이로 효용을 판단하지 않는다.</t>
  </si>
  <si>
    <t>관련 UI·문구가 없다.</t>
  </si>
  <si>
    <t>출처: 요구사항 명세서 v0.8.2, v1.0, 2-Spring 아키텍처 v0.4 구조 결정(2026-10-06). 문서 정합성·참조·집계 검증이며 실제 장비·통신 검수 완료를 의미하지 않는다.</t>
  </si>
  <si>
    <t>FR-C09, FR-D02, FR-D04</t>
  </si>
  <si>
    <t>승인 지원 있음 / 추가 관찰 필요</t>
  </si>
  <si>
    <t>NFR-11</t>
  </si>
  <si>
    <t>연습 기록 상세 27에서 진입. 승인 지원 1개와 적용 조건·한계. 기록으로·다음 활동 선택</t>
  </si>
  <si>
    <t>기기 독립성</t>
  </si>
  <si>
    <t>14 연동 구조</t>
  </si>
  <si>
    <t>서비스는 아동 기기의 형태에 의존하지 않는다. 현재의 웹 음성 클라이언트와 향후 인형 형태에서 보호자 앱의 기능·사용 방식과 아동의 음성 사용 방식이 같다.</t>
  </si>
  <si>
    <t>보호자 앱의 기능·화면이 아동 기기 형태에 따라 달라지지 않는다.</t>
  </si>
  <si>
    <t>종료 화면 직후가 아닌 기록 상세에서 접근</t>
  </si>
  <si>
    <t>FR-D01, FR-D04</t>
  </si>
  <si>
    <t>전체 / 자유대화 / 연습 / 기록 없음</t>
  </si>
  <si>
    <t>시점·종류·출처별 통합 목록. 세션 선택 → 27. 미참여는 종료 사실·시각만</t>
  </si>
  <si>
    <t>상세 결과 확인의 진입점</t>
  </si>
  <si>
    <t>FR-A10, FR-B08, FR-B10, FR-C07, FR-C08, FR-C09, FR-D02, FR-D04, FR-F01, FR-F05, FR-F06, FR-F09, FR-F10, FR-F11, FR-F12, FR-F17</t>
  </si>
  <si>
    <t>자유대화 / 연습 / 부분 / 자료 부족 / 준비 중 / 실패 / 동의 제한</t>
  </si>
  <si>
    <t>자유대화: 배경·경험·인용·출처·미확인, 추천 보기 → 18. 연습: 목표·4단계 실제 기록·미실시·한계, 일상 지원 → 25. 생성 실패는 재시도</t>
  </si>
  <si>
    <t>기존 기록 상세·목표 추천·일상 지원 흐름 유지. 종료 확인 여부와 확보된 기록 범위·미확인 구간을 구분. 미수신 기록을 만들어 채우지 않음</t>
  </si>
  <si>
    <t>28</t>
  </si>
  <si>
    <t>FR-D05, FR-F12</t>
  </si>
  <si>
    <t>생성 중 / 리포트 동의 없음 / 자료 부족</t>
  </si>
  <si>
    <t>10개 항목의 기록 범위 확인 후 생성 → 29. 중복 요청 차단·동의 확인·취소</t>
  </si>
  <si>
    <t>기존 범위 유지. 기록 상세와 실제 저장 근거 연결</t>
  </si>
  <si>
    <t>29</t>
  </si>
  <si>
    <t>상담용 리포트 확인</t>
  </si>
  <si>
    <t>FR-D05, FR-D06, FR-F12</t>
  </si>
  <si>
    <t>전체 / 부분 / 미실시·자료 부족</t>
  </si>
  <si>
    <t>기록·인용·제한사항 확인. 진단 결과 아님 고지. PDF 저장 전 확인 → 30</t>
  </si>
  <si>
    <t>기존 유지. 서비스 내 자동 전송 없음</t>
  </si>
  <si>
    <t>30</t>
  </si>
  <si>
    <t>PDF 저장 전 확인</t>
  </si>
  <si>
    <t>포함 범위 확인 / 저장</t>
  </si>
  <si>
    <t>PDF 저장·돌아가기·나중에 확인. 전문가 전달은 보호자 직접</t>
  </si>
  <si>
    <t>PDF 저장을 전달·수신 완료로 표시하지 않음</t>
  </si>
  <si>
    <t>SET-01</t>
  </si>
  <si>
    <t>종료 표현 설정 (시안 T20)</t>
  </si>
  <si>
    <t>30-screen 밖 보조 설정</t>
  </si>
  <si>
    <t>추가 표현 없음 / 편집 / 중복·빈 값 / 저장 완료·실패</t>
  </si>
  <si>
    <t>홈 아동 기기 카드에서 진입. 기본 “무중아 그만할래” 유지. 아동별 추가 표현 등록·편집·삭제·변경사항 저장·취소. 자유·연습 다음 활동부터 적용</t>
  </si>
  <si>
    <t>정확 일치 암호가 아닌 종료 의도 인식 보조 정보. 기본 표현 변경·삭제 불가. 취소는 미저장 변경 폐기</t>
  </si>
  <si>
    <t>자유대화: 07 →08 배경(선택) →09 녹음(선택) →10 준비 →11 요청·실행 확인/안내 →12 진행 →기기 종료 확인 →17 종료 →버튼으로27 기록 상세</t>
  </si>
  <si>
    <t>연습: 18 추천 →19 다른 목표(선택) →20 준비 →11 요청·실행 확인/안내 →21 진행 →기기 종료 확인 →22 기록 정리 →23 종료 →버튼으로27 기록 상세</t>
  </si>
  <si>
    <t>장애·미확인:12/21 상태 변형. 수동 종료 요청은14. 기기 종료가 확인되면16/24. 요청만 접수되거나 확인을 받지 못하면 종료 확인 안 됨을 유지한다.</t>
  </si>
  <si>
    <t>기록·리포트:26 →27. 자유대화 기록→18 추천, 연습 기록→25 일상 지원.28 →29 →30 PDF 확인. 기존 흐름은 유지한다.</t>
  </si>
  <si>
    <t>01~30 번호 유지. 13은 아동 쉬기 전용 참조(적용 결정 필요), 기술 정지 화면이 아님. 활성 핵심29개·정책 미정1개·보조SET-01. 새 독립 화면 없음.</t>
  </si>
  <si>
    <t>녹색은 확인된 정상 진행. 확인된 음성 장애·기술 정지와 회색 상태 미확인은 사유·범례로 구분. 앱만 최신 조회 불가는 마지막 확인 시각 표시. 미확인 구간을 중단으로 채우지 않음.</t>
  </si>
  <si>
    <t>라벨 (요구사항 탭 열)</t>
  </si>
  <si>
    <t>값</t>
  </si>
  <si>
    <t>뜻</t>
  </si>
  <si>
    <t>A~F, N</t>
  </si>
  <si>
    <t>v0.4.2 ID 체계. A 계정·동의·기기, B 자유대화, C 연습, D 기록·리포트(이상 보호자 앱), E 아동 기기, F 서버·시스템, N 비기능</t>
  </si>
  <si>
    <t>01~14</t>
  </si>
  <si>
    <t>함께 만들고 함께 시험하는 단위. WBS의 작업 묶음으로 쓴다. 11은 종료 안내·기록 연결, 12는 기록·리포트 조회와 생성 기능이다.</t>
  </si>
  <si>
    <t>없으면 '보호자 준비 → 자유대화 또는 연습 → 종료 안내 → 기록 상세 → 필요 시 목표 선택·일상 지원·리포트'의 필수 흐름이 끊기거나 아동 보호 원칙을 어김. 기록 없는 아동의 연습 목표 선택과 자유·연습 진행 상태 확인도 포함. 일정이 밀려도 줄이지 않는다</t>
  </si>
  <si>
    <t>11/5 목표에 포함한다. 다만 일정이 밀리면 단순하게 만들거나 뒤로 미룰 수 있음</t>
  </si>
  <si>
    <t>여유가 있을 때 구현</t>
  </si>
  <si>
    <t>이번 MVP 제외. v0.7부터 Won't 항목은 요구사항 탭에 두지 않고 '제외·이관' 탭에서 관리한다</t>
  </si>
  <si>
    <t>우선순위 결정을 보류함 (현재 해당 없음)</t>
  </si>
  <si>
    <t>작성 기준</t>
  </si>
  <si>
    <t>요구사항에는 사용자 동작과 시험 가능한 완료 기준을 작성한다. 연결 구조·구현 방식·세부 성능값은 확정 구조·결정 필요·ADR 값으로 구분해 표시하고 값은 ADR에 연결한다. 상세 테스트 절차·환경·측정 계획은 별도 테스트 계획에서 관리하되, 연결 장애의 최소 상황별 수용 행동은 이 명세서에서 확인할 수 있어야 한다.</t>
  </si>
  <si>
    <t>법적 검토</t>
  </si>
  <si>
    <t>법령·공급자별 아동 이용 조건, 법적 보존 기간, AI 고지의 법적 적합성 검토는 프로젝트 범위에서 제외한다(9/30 팀 결정). 서비스가 동작한다는 사실을 우선한다</t>
  </si>
  <si>
    <t>제외·이관 탭</t>
  </si>
  <si>
    <t>처리</t>
  </si>
  <si>
    <t>삭제(중복) / 제외 범위(이번 MVP 밖) / 통합(다른 요구사항에 합침) / 이관(다른 산출물로 옮김) / 복귀(새 버전에서 활성 요구사항으로 되돌림). 과거 원문은 보존하되 현행 처리와 복귀·통합 대상 ID를 명확히 표시한다. 개정 원문 보관은 활성 요구사항의 이전 문구 이력으로, 현재 제외·이관 항목 건수에서 제외한다.</t>
  </si>
  <si>
    <t>화면 ID</t>
  </si>
  <si>
    <t>01~30(13 적용 결정 필요) / SET-01</t>
  </si>
  <si>
    <t>v0.3 화면 번호 01~30을 보존한다. 13은 아동 쉬기 전용(적용 결정 필요)이며 현재 기능 재도입을 확정하지 않는다. 기술적 일시 정지는 12·21의 상태 변형으로 표현한다. 11·14·15는 자유대화·연습 공통. SET-01은 시안 T20 종료 표현 설정이며 핵심 20 연습 준비와 다르다.</t>
  </si>
  <si>
    <t>결과 위치</t>
  </si>
  <si>
    <t>종료 안내 / 기록 상세</t>
  </si>
  <si>
    <t>17·23은 종료 안내, 16·24는 불완전 종료 안내이며 상세 결과는 27에서 확인한다. 결과 준비 여부는 활동 종료와 별도 상태이고 결과 준비 완료만으로 상세에 자동 진입하지 않는다.</t>
  </si>
  <si>
    <t>연습 목표</t>
  </si>
  <si>
    <t>연령 기반 / 기록 기반 / 다른 목표</t>
  </si>
  <si>
    <t>연령 기반은 무기록 또는 개인화 근거 부족 시의 Library 대안, 기록 기반은 저장된 근거가 연결된 추천이다. 어느 경우든 다른 지원 목표를 선택할 수 있다. 추천 여부와 목표의 실제 지원 여부를 구분한다.</t>
  </si>
  <si>
    <t>Library</t>
  </si>
  <si>
    <t>Goal Library / Support Library</t>
  </si>
  <si>
    <t>FR-F19 Goal Library는 연습 목표의 연령 정보·실행·판정 조건을 관리한다. FR-C09 Support Library는 연습 기록에 연결해 보여주는 승인된 일상 지원 목록이다. 서로 대체하지 않는다.</t>
  </si>
  <si>
    <t>미결 정책</t>
  </si>
  <si>
    <t>동의·Library 등 잔여 정책 미확정</t>
  </si>
  <si>
    <t>생활 녹음의 제3자 음성·동의 조건과 Goal Library의 구체 목표·연령 구간은 미확정이다. 연결 구조·관리 연결 범위·기기 자체 중지는 구조 결정으로 확정했고(D-CON-01·02·08), 장애 판정·상태 유효시간·복구 대기/횟수·알림 기준·재개 조건은 ADR 값(D-CON-03~07)으로 관리한다. 고정 안내 제공 여부(D-CON-09)·공백 타이머 전환(D-CON-10)·13 아동 쉬기 적용(D-CON-11)은 결정 필요. 정상 연결·활동 중 검증 가능한 공백에만 기존 4분+2분 가드레일 유지.</t>
  </si>
  <si>
    <t>종료 의도 / 종료 표현</t>
  </si>
  <si>
    <t>기본·추가 종료 표현은 의도 인식의 보조정보이며 정확히 일치해야 하는 암호가 아니다. 호출어 필수·등록 문장 정확 일치 조건은 폐기한다. 일반 대사·쉬기 요청과 실제 종료 의도를 구분한다. 쉬기·건너뛰기·재개 제어는 이 연결 보완만으로 재도입하지 않는다.</t>
  </si>
  <si>
    <t>오디오 공백</t>
  </si>
  <si>
    <t>연속 4분 / 추가 약 2분</t>
  </si>
  <si>
    <t>기기 연결·음성 모델 연결 정상·활동 진행 중 실제 오디오 공백의 연속성을 검증할 수 있을 때 4분에 비정상 공백, 추가 약 2분(기본 2분, 총 약 6분)에 자동 종료 처리한다. 장애·상태 미확인·기술 정지·아동 쉬기 시간을 합산하거나 장애 타임아웃으로 쓰지 않는다. 앱 사용 여부 자체로 초기화하지 않으며 상태 전환 시 세부 타이머 정책은 결정 필요다.</t>
  </si>
  <si>
    <t>설정 적용</t>
  </si>
  <si>
    <t>아동별 / 다음 활동</t>
  </si>
  <si>
    <t>SET-01은 선택한 아동별 추가 종료 표현을 관리한다. 기본 무중아 그만할래는 변경·삭제 불가. 저장된 변경은 다음 활동부터 자유대화·연습에 공통 적용되며 진행 중인 활동 설정은 바꾸지 않는다.</t>
  </si>
  <si>
    <t>정의 구분</t>
  </si>
  <si>
    <t>확정 구조 / 확정 요구 / 결정 필요 / 결정 완료 / ADR 값</t>
  </si>
  <si>
    <t>확정 구조는 팀이 결정한 시스템 구조(2-Spring 아키텍처 v0.4: 아동 서비스·보호자 서버 분리)로 요구사항이 전제하는 조건, 확정 요구는 제공해야 할 행동, 결정 필요는 팀이 제공 여부·적용 조건을 정해야 하는 항목, 결정 완료는 결정일·근거가 기록된 항목, ADR 값은 요구사항에는 원칙만 두고 시간·횟수 등의 값은 ADR에서 정하는 항목이다.</t>
  </si>
  <si>
    <t>연결 구분</t>
  </si>
  <si>
    <t>기기 연결 / 음성 모델 연결 / 부모 앱 연결</t>
  </si>
  <si>
    <t>아동 기기↔아동 서비스(음성·상태·명령) / 아동 서비스↔GPT Live(서버 간 음성) / 부모 앱↔보호자 서버(조회·조작)를 구분한다. 음성 대화 연결은 기기 연결과 음성 모델 연결을 합친 음성 경로이며 그 장애(음성 대화 장애)는 아동 서비스가 직접 확인한다. 보호자 서버가 아동 서비스의 상태를 받지 못하면 기기 상태 확인 불가로 표시한다. 문구에는 장애 대상을 명시하며 모르는 원인을 추정하지 않는다.</t>
  </si>
  <si>
    <t>활동·조회 분리</t>
  </si>
  <si>
    <t>실제 활동 상태 / 상태 확인 불가</t>
  </si>
  <si>
    <t>부모 앱·서버가 상태를 수신하지 못한다는 사실은 대화 중단의 증거가 아니다. 마지막 확인 시각·상태와 조회 불가를 함께 표시하며 확보된 사실만 타임라인에 반영한다.</t>
  </si>
  <si>
    <t>정지 구분</t>
  </si>
  <si>
    <t>기술적 일시 정지 / 아동 쉬는 중</t>
  </si>
  <si>
    <t>기술적 일시 정지는 확인된 장애 대응 상태로 12·21에 표시한다. 아동 서비스의 출력 중지 확인이 없으면 정지 완료로 표시하지 않는다. 색상은 결정 필요이며 회색 미확인과 문구·범례를 구분한다. 아동 쉬기는 아동 의사에 따른 별도 의미이며 13의 적용은 결정 필요다.</t>
  </si>
  <si>
    <t>종료 확인</t>
  </si>
  <si>
    <t>종료 요청됨 / 종료 처리 중 / 종료 확인 안 됨 / 종료 확인</t>
  </si>
  <si>
    <t>종료 조작 의사·전송·아동 서비스 수신·종료 확인을 근거에 따라 구분한다. 종료 확인은 아동 서비스가 출력 중지와 음성 모델 세션 종료를 확인한 것이며 기기 연결이 끊겨도 확정할 수 있다(문서의 ‘기기 종료 확인’도 같은 뜻). 종료 처리 중은 종료 요청부터 종료 확인까지의 상태다. 확인 미수신은 완료가 아니며 통신 장애 중 원격 즉시 종료를 보장하지 않는다. 종료 확인 후 종료 안내와 기록 상세 흐름을 따른다.</t>
  </si>
  <si>
    <t>기록·시간</t>
  </si>
  <si>
    <t>실제 이벤트 시각 / 마지막 확인 시각 / 수신 시각</t>
  </si>
  <si>
    <t>발생·확인·수신 시각을 구분해 지연 상태를 최신 사실처럼 표시하지 않는다. 상태 정보 유효시간은 ADR. 미확인 구간을 실제 대화 중단이나 정상 진행으로 채우지 않는다.</t>
  </si>
  <si>
    <t>알림 상태</t>
  </si>
  <si>
    <t>감지 / 발송 요청 / 전달</t>
  </si>
  <si>
    <t>서버가 감지해 발송 요청하며 부모 앱 실행은 필수 조건이 아니다. 발송 요청이 실제 수신·읽음을 뜻하지 않고 즉시 전달도 보장하지 않는다. 알림 선택/재진입 시 최신 상태를 다시 조회한다.</t>
  </si>
  <si>
    <t>결정 추적</t>
  </si>
  <si>
    <t>D-CON-01~11 / AC-CON-01~10</t>
  </si>
  <si>
    <t>D-CON은 구조·정책·값·지원 여부의 결정 항목(결정 완료 / ADR 값 / 결정 필요), AC-CON은 관찰 가능한 완료 기준이다. 결정일·책임자·근거·영향 FR/화면과 검수 결과를 연결하며 미정 값을 임의로 확정하지 않는다.</t>
  </si>
  <si>
    <t>서버 구분</t>
  </si>
  <si>
    <t>보호자 서버 / 아동 서비스</t>
  </si>
  <si>
    <t>보호자 서버(Core API)는 부모 앱·계정·동의·기록 통합 저장을 담당하고, 아동 서비스(Realtime Activity)는 아동 기기 연결·GPT Live 중계·진행 중 세션 상태를 담당한다. 아동 서비스는 상태·기록을 보호자 서버에 전달하며 두 서버의 내부 구현은 ADR에서 다룬다.</t>
  </si>
  <si>
    <t>버전</t>
  </si>
  <si>
    <t>날짜</t>
  </si>
  <si>
    <t>옮기기 전 우선순위</t>
  </si>
  <si>
    <t>변경</t>
  </si>
  <si>
    <t>옮길 곳</t>
  </si>
  <si>
    <t>이유</t>
  </si>
  <si>
    <t>옮기기 전 상세 (원문)</t>
  </si>
  <si>
    <t>옮기기 전 완료 기준 (원문)</t>
  </si>
  <si>
    <t>비고</t>
  </si>
  <si>
    <t>v1.1</t>
  </si>
  <si>
    <t>생활 녹음 추가</t>
  </si>
  <si>
    <t>복귀 (v0.8)</t>
  </si>
  <si>
    <t>요구사항 FR-B04</t>
  </si>
  <si>
    <t>v0.8에서 선택적 생활 대화 녹음 참고 자료 기능으로 복귀. 아래 두 원문 열은 과거 제외 당시 문구를 보존한 이력이다.</t>
  </si>
  <si>
    <t>실제 대화 녹음 자료를 선택적으로 제공한다. 제3자 음성 동의 문제로 MVP에서 제외한다.</t>
  </si>
  <si>
    <t>화면에서 카드를 제거하거나 '준비 중'으로 표시한다.</t>
  </si>
  <si>
    <t>현행 기능은 요구사항 FR-B04 및 화면 09·10 참조. 제3자 음성 등 정책·동의 조건 확정 필요.</t>
  </si>
  <si>
    <t>FR-C04</t>
  </si>
  <si>
    <t>추가 화용 행동 범위</t>
  </si>
  <si>
    <t>삭제</t>
  </si>
  <si>
    <t>Won't이고 내용이 FR-C02·F06과 중복</t>
  </si>
  <si>
    <t>목표 행동은 자유대화 결과에 따라 아동별로 추가된다(FR-C02·F06). 고정된 추가 행동 목록과 미구현 행동의 '준비 중' 표시는 두지 않는다.</t>
  </si>
  <si>
    <t>연습 메뉴에 '준비 중' 행동이 표시되지 않는다.</t>
  </si>
  <si>
    <t>FR-D03</t>
  </si>
  <si>
    <t>생활 관찰 입력</t>
  </si>
  <si>
    <t>제외 범위</t>
  </si>
  <si>
    <t>향후 범위</t>
  </si>
  <si>
    <t>9/30 결정으로 리포트에서 '보호자 관찰' 항목 제외. Won't 항목을 요구사항 목록에서 분리</t>
  </si>
  <si>
    <t>활동 이후 생활에서 본 장면을 짧게 기록한다. 리포트의 '보호자 관찰' 항목을 제외하면서 구현하지 않는다.</t>
  </si>
  <si>
    <t>생활 관찰 입력 화면과 리포트의 '보호자 관찰' 항목이 없다.</t>
  </si>
  <si>
    <t>리포트 10개 항목(FR-D05)에 보호자 관찰 없음</t>
  </si>
  <si>
    <t>[개요] v0.8.2를 기준으로 아동 서비스·보호자 서버 분리 구조(2-Spring v0.4)를 반영한 새 파일. 7개 시트·66개 요구사항 ID·자유대화/연습/기록 흐름 유지. 팀 결정 사항은 v0.8.2를 따른다.</t>
  </si>
  <si>
    <t>FR-F16</t>
  </si>
  <si>
    <t>검토 큐</t>
  </si>
  <si>
    <t>제외 범위 (Backlog)</t>
  </si>
  <si>
    <t>운영 도구 Backlog</t>
  </si>
  <si>
    <t>팀 검토자'가 서비스 사용자 정의(보호자·아동·전문가)에 없음. 위험 발화 대응은 추후 개발(9/30 결정), MVP에 전사 수정 기능 없음(FR-F04)</t>
  </si>
  <si>
    <t>review_needed 전사, 위험 발화, 판정 불확실 항목을 팀 검토자가 처리한다. 미해결 항목은 결과에 '검토 중'으로 표시한다.</t>
  </si>
  <si>
    <t>검토 전 항목이 확정 결과로 나가지 않는다.</t>
  </si>
  <si>
    <t>[구조 결정] FR-A06·E11 재작성: 아동 기기는 세션 토큰으로 아동 서비스에만 연결, 아동 서비스가 GPT Live 중계, 기록은 보호자 서버 통합 저장. 기기 검색·등록·페어링 없음. 이전 문구는 제외·이관 탭에 보관. 공통규칙에 세션 토큰·기록 저장 주체·범위 밖(페어링) 추가.</t>
  </si>
  <si>
    <t>연쇄 수정: FR-F02 참조, 화면 T13 '검토 중' → '판정 보류'. 판정 불확실은 FR-F10의 보류로 처리</t>
  </si>
  <si>
    <t>NFR-03</t>
  </si>
  <si>
    <t>AI 서비스 고지</t>
  </si>
  <si>
    <t>통합</t>
  </si>
  <si>
    <t>[연결 용어] 음성 대화·기기 관리·부모 앱 연결 → 기기 연결·음성 모델 연결·부모 앱 연결. 음성 대화 장애는 아동 서비스가 직접 확인, 보호자 서버 상태 미수신은 기기 상태 확인 불가. 관리 연결만 장애 상태와 기기 자체 중지 정책 제안 삭제. B06·B10·C06·C08·F01·F14·F18·NFR-06·공통규칙·화면·라벨 문구 정리.</t>
  </si>
  <si>
    <t>FR-A04, FR-E01</t>
  </si>
  <si>
    <t>보호자 고지(FR-A04)·아동 고지(FR-E01)와 중복</t>
  </si>
  <si>
    <t>생성형 AI 서비스임을 가입·동의 화면과 약관에 사전 고지한다. 법적 적합성 검토는 프로젝트 범위에서 제외한다.</t>
  </si>
  <si>
    <t>FR-A04와 FR-E01의 앱·음성 고지를 확인한다.</t>
  </si>
  <si>
    <t>법적 검토 제외' 문장은 라벨정의 '작성 기준'으로 이동</t>
  </si>
  <si>
    <t>[종료] 종료 처리 중(ending) 상태 추가(B07·E10·F01, 화면 12·21). 종료 확인을 아동 서비스의 출력 중지·음성 모델 세션 종료 확인으로 정의. AC-CON-03·04를 음성 모델 연결·기기 연결 장애로 바꾸고 AC-CON-10(보호자 서버 상태 미수신) 추가.</t>
  </si>
  <si>
    <t>NFR-05</t>
  </si>
  <si>
    <t>응답 지연</t>
  </si>
  <si>
    <t>이관</t>
  </si>
  <si>
    <t>성능 측정 계획(POC) — 문서 작성 전</t>
  </si>
  <si>
    <t>목표값이 없어 요구사항이 아니라 측정 계획(9/30: 목표값 미고려, 모델 평가 우선)</t>
  </si>
  <si>
    <t>[v1.0 결정 복원] 로그인 상태 유지(A01), 참여 전 준비 취소 시 취소 사실·시각만 기록(활동 시작 조건), 동의 철회 전 기록 유지·철회 후 도착 자료 미저장(A08), 결과 상태 ‘생성 실패’, 기본 종료 표현 ‘무중아 그만할래’.</t>
  </si>
  <si>
    <t>아동 발화 종료 → 기기 첫 음성 출력 지연을 측정한다. 현 단계에서는 목표값을 두지 않고 모델 평가를 우선한다.</t>
  </si>
  <si>
    <t>지연 측정 로그가 있다.</t>
  </si>
  <si>
    <t>목표값을 정하면 요구사항으로 다시 등록</t>
  </si>
  <si>
    <t>[팀 결정 유지(v0.8.2)] 종료 의도 인식, 쉬기·재개 미제공(D-CON-11), 4분+2분 공백 자동 종료, 아동용 화면 범위 밖, FR-B12 미도입, 추가 종료 표현 제한 없음은 v0.8.2 유지. D-CON-01·02·08 결정 완료, 03~07 ADR 값, 09는 고정 안내 제공 여부만 결정 필요.</t>
  </si>
  <si>
    <t>NFR-07</t>
  </si>
  <si>
    <t>회귀 시험</t>
  </si>
  <si>
    <t>v0.8.2</t>
  </si>
  <si>
    <t>테스트 계획서 — 문서 작성 전</t>
  </si>
  <si>
    <t>시스템이 충족할 요구가 아니라 검증 방법. 검증 대상 요구(NFR-01, FR-E03·E05·E07·F12·F15 등)는 요구사항 탭에 유지</t>
  </si>
  <si>
    <t>연결 대상별 장애 정의 및 상태·복구·알림 규칙 보완. v0.8.1을 보존한 새 파일이며 7개 시트·66개 요구사항 ID·기존 자유대화/연습/기록 흐름을 유지한다.</t>
  </si>
  <si>
    <t>합성 Persona로 Cue 유출, 역할 지식 누출, 보호자 입력 직접 언급, 중단 의도 인식, 수치 불일치, 금지 표현을 반복 시험한다. 합성 결과를 실제 아동 성능으로 보고하지 않는다.</t>
  </si>
  <si>
    <t>시험 스크립트로 재실행할 수 있다.</t>
  </si>
  <si>
    <t>테스트 계획서가 생기면 이 원문을 옮김</t>
  </si>
  <si>
    <t>NFR-10</t>
  </si>
  <si>
    <t>공급자 교체 가능성</t>
  </si>
  <si>
    <t>[설계 전제] 독립형 음성 기기와 부모 앱 상태 분리. 실제 GPT Live 직접/서버중계·휴대폰 핫스팟/음성중계 의존은 결정 필요. 음성 대화·기기 관리·부모 앱의3기능 연결은 별도3물리연결 확정이 아님.</t>
  </si>
  <si>
    <t>ADR (ADR-002·004·007)</t>
  </si>
  <si>
    <t>사용자 요구가 아닌 아키텍처 결정</t>
  </si>
  <si>
    <t>음성 대화 모델·STT·TTS를 어댑터 인터페이스로 분리하고 공통 기능 계약과 공급자별 차이를 명시한다.</t>
  </si>
  <si>
    <t>교체 경계와 영향 범위를 문서로 확인할 수 있다. 모든 공급자 교체에서 경계 밖 코드 수정이 전혀 없음을 보장하는 기준은 두지 않는다.</t>
  </si>
  <si>
    <t>[활동·관측] FR-A06·B06·C06·F01·F18: 실제 진행/기술 정지와 조회 미확인을 분리. 마지막 확인·수신 시각, 실제 확보 이력으로 타임라인 보완. 앱 닫힘/앱만 오프라인은 활동 종료·기기장애 근거가 아님.</t>
  </si>
  <si>
    <t>NFR-11 (일부)</t>
  </si>
  <si>
    <t>기기 독립성 — 인터페이스 부분</t>
  </si>
  <si>
    <t>일부 이관</t>
  </si>
  <si>
    <t>ADR</t>
  </si>
  <si>
    <t>기기 인터페이스 설계·명세 문서화는 기술 결정. 제품 제약(기기 형태가 바뀌어도 사용 방식 동일)은 요구사항 탭 NFR-11에 유지</t>
  </si>
  <si>
    <t>[종료 확인] FR-B07·B10·C08·F01·F11·NFR-06: 전송 불가/서버 요청 접수/기기 종료 확인 분리. 기기 확인 미수신은 완료·새 활동 시작 금지. 시작 요청도 서버 수락과 기기 실행 확인을 구분.</t>
  </si>
  <si>
    <t>서버·보호자 앱은 기기 외형·물리 버튼·AI 처리 위치에 의존하지 않는다. 데모의 웹 음성 클라이언트와 향후 인형 형태가 같은 인터페이스로 동작한다.</t>
  </si>
  <si>
    <t>기기 인터페이스 명세가 문서화된다.</t>
  </si>
  <si>
    <t>NFR-11은 요구사항 탭에 남아 있음(본문 수정)</t>
  </si>
  <si>
    <t>NFR-12</t>
  </si>
  <si>
    <t>비용 추적</t>
  </si>
  <si>
    <t>[복구] FR-E11·F14·NFR-06: 확인된 음성 장애의 기술 정지·복구, 지연 응답 억제, 종료 전 상태/맥락 복원 조건. 필수 관리 장애의 기기 자체 정지·복구 후 종료는 정책 제안으로 남김. 복구 실패/복원 불가는 기술 종료하되 확인 여부 분리.</t>
  </si>
  <si>
    <t>운영 / 기술명세</t>
  </si>
  <si>
    <t>제품 기능이 아닌 운영·비용 관리</t>
  </si>
  <si>
    <t>세션당 모델·STT·TTS·저장 비용을 기록한다.</t>
  </si>
  <si>
    <t>세션 단위 비용 로그가 있다.</t>
  </si>
  <si>
    <t>[푸시] FR-A10: 서버 감시·발송 요청, 음성 장애/기기 상태 미확인/기술 종료 확인 문구 분리. 실제 전달·즉시 전달 보장 없음. 알림 선택·재진입 시 최신 세션 조회, 과거 알림으로 상태를 되돌리지 않음.</t>
  </si>
  <si>
    <t>FR-F13</t>
  </si>
  <si>
    <t>일상 지원 매칭</t>
  </si>
  <si>
    <t>통합 (v0.7.1)</t>
  </si>
  <si>
    <t>[기존 정책 경계]4분+기본2분은 정상 필수 연결에서 검증 가능한 실제 공백에만 적용. 장애·미확인·기술정지 시간을 합산하지 않고 장애/복구 타임아웃은 결정 필요. v0.8.1의 장애에도 동일 시간 적용 문구 대체.</t>
  </si>
  <si>
    <t>FR-C09와 같은 규칙(승인 목록, 미승인 노출 금지, '추가 관찰 필요')을 두 곳에서 관리하던 중복</t>
  </si>
  <si>
    <t>승인된 지원 목록(Support Library)에서 목표 행동·적용 조건에 맞는 항목을 고른다. 초기 지원 목록(또는 초기 시나리오)은 개발팀이 제공한다. 미승인 항목과 검색 점수는 노출하지 않는다.</t>
  </si>
  <si>
    <t>지원 목록이 비어 있으면 '추가 관찰 필요'가 반환된다.</t>
  </si>
  <si>
    <t>화면 T14 관련 FR에서 제거</t>
  </si>
  <si>
    <t>[기기 안내·쉬기] 기기 자체 고정 안내는 가능 시 제공하되 지원·문구·횟수·정책 결정 필요로 구분하여 이전 일괄 무음 규칙 보완.13은 아동 쉬기 전용 참조, 적용 여부·진입·재개는 결정 필요.12·21기술 정지와 혼용하지 않음. T20 종료 표현 설정은 유지.</t>
  </si>
  <si>
    <t>NFR-02</t>
  </si>
  <si>
    <t>아동 데이터 처리 조건</t>
  </si>
  <si>
    <t>FR-A03 완료 기준</t>
  </si>
  <si>
    <t>FR-A03(항목별 동의)의 결과를 다시 쓴 중복</t>
  </si>
  <si>
    <t>[검수·미정] 앱 종료,앱만 오프라인,음성만 장애,관리만 장애,복구 성공,복구 실패,종료 확인 미수신의 시험 가능한 완료기준 반영. 구조·필수 범위·장애 시간·정보 유효시간·복구 대기/재시도·알림 기준·재개 조건·기기 기능은 결정 필요로 관리.</t>
  </si>
  <si>
    <t>아동 데이터는 보호자 동의(FR-A03) 범위 안에서만 처리한다.</t>
  </si>
  <si>
    <t>동의 범위 밖의 수집·저장이 없다.</t>
  </si>
  <si>
    <t>FR-A03 완료 기준에 '동의 범위 밖의 수집·저장·이용이 없다' 추가</t>
  </si>
  <si>
    <t>NFR-08</t>
  </si>
  <si>
    <t>[검증 보완] 지연/중복/역순 이벤트, 종료 요청 중 복구, 다른 세션 명령 적용 방지, 기록 확보 범위와 미확인 구간, 관리 장애 중 임시 저장·재전송 한계도 확인 사항으로 추가. 실제 장비/통신 시험 결과가 아닌 명세의 수용기준 보완이다.</t>
  </si>
  <si>
    <t>보존·삭제 정책</t>
  </si>
  <si>
    <t>삭제 (v0.7.1, 중복)</t>
  </si>
  <si>
    <t>FR-A08, FR-F04, FR-F11</t>
  </si>
  <si>
    <t>v0.8.1</t>
  </si>
  <si>
    <t>네 문장이 모두 다른 요구사항에 있음: 원음 저장(F04), 중단 전 기록 보존(F11), 삭제 시 연쇄 삭제·철회 시 활동 종료(A08)</t>
  </si>
  <si>
    <t>원음(보관 동의 시)·전사·리포트를 저장한다. 활동 도중 중단되면 중단 전 기록을 보존한다. 기록을 삭제하면 그 기록에서 만든 추천·요약·리포트도 함께 삭제한다. 필수 동의를 철회하면 진행 중 활동을 종료하고 이후 수집을 중단한다.</t>
  </si>
  <si>
    <t>[개요] v0.8을 바탕으로 10/6 수정 요청 4건과 첨부 v0.4 T20 종료 표현 설정 시안을 반영. 기존 7개 시트·66개 요구사항 ID·기존 파일을 보존한 별도 개정본.</t>
  </si>
  <si>
    <t>중단 전 기록 보존, 삭제 시 파생 결과 연쇄 삭제, 필수 동의 철회 시 활동 종료가 시험으로 확인된다.</t>
  </si>
  <si>
    <t>architecture 문서의 NFR-08 참조는 FR-A08·F04·F11로 읽음</t>
  </si>
  <si>
    <t>FR-B09</t>
  </si>
  <si>
    <t>연습 후보 확인·미리 고르기</t>
  </si>
  <si>
    <t>[로그인] FR-A01·화면01: 카카오·네이버·구글 소셜 로그인만 제공. 자체 회원가입·자체 아이디/비밀번호 로그인 경로 제거. 인증 취소·실패·재시도 기준 추가.</t>
  </si>
  <si>
    <t>통합 (v0.8)</t>
  </si>
  <si>
    <t>FR-C02, FR-F06</t>
  </si>
  <si>
    <t>종료 화면에서 목표 미리 고르기 제거. 추천·선택은 18·19로 이동하고 결과는 27에서 확인.</t>
  </si>
  <si>
    <t>결과 화면 아래에 AI가 추천한 화용 행동 후보와 추천 이유를 보여주고, 보호자가 하나를 골라두거나 나중에 선택한다. 골라두어도 연습은 시작되지 않는다.</t>
  </si>
  <si>
    <t>선택한 목표가 연습 메뉴에 표시되고 기기 상태는 변하지 않는다.</t>
  </si>
  <si>
    <t>원문 보존. 선택만으로 연습이 시작되지 않는 원칙은 유지.</t>
  </si>
  <si>
    <t>[아동 정보] FR-A02·A07·화면02·04: 최초 등록 시 확인·수정 및 등록 후 정보 수정·저장·취소 제공. 동일 아동과 기존 기록 연결 유지, 중복 등록·저장 실패의 성공 표시 금지.</t>
  </si>
  <si>
    <t>FR-A01 (구버전)</t>
  </si>
  <si>
    <t>보호자 로그인</t>
  </si>
  <si>
    <t>개정 원문 보관 (v0.8.1)</t>
  </si>
  <si>
    <t>FR-A01 현행 본문</t>
  </si>
  <si>
    <t>소셜 로그인 3종만 제공하는 방식으로 구체화. 자체 로그인으로 해석되는 이전 문구를 대체.</t>
  </si>
  <si>
    <t>[T20] FR-A09·E05·E01·F01·F14: 기본 “끼리꼬야 그만할래” 항상 유지. 아동별 추가 표현 등록·편집·삭제·저장·취소. 빈 값/중복 방지·실패 구분. 저장한 설정은 다음 자유·연습부터 적용. 문장 정확 일치/호출어 필수 제어에서 종료 의도 인식의 보조 표현으로 변경.</t>
  </si>
  <si>
    <t>보호자 계정으로 로그인·로그아웃한다. 아동용·전문가용 로그인은 두지 않는다.</t>
  </si>
  <si>
    <t>로그인 후 타 계정 데이터에 접근할 수 없다.</t>
  </si>
  <si>
    <t>활성 요구사항의 삭제가 아닌 개정 전 원문 보존. 현재 동작은 요구사항·공통규칙 참조.</t>
  </si>
  <si>
    <t>FR-A09 (구버전)</t>
  </si>
  <si>
    <t>음성 키워드 설정</t>
  </si>
  <si>
    <t>[범위 축소] 쉬기·건너뛰기·재개 음성 제어와 paused 상태 제거. 13은 미사용 번호로 보존하여 활성 핵심 화면 29개, 보조 SET-01 1개. 준비 단계의 선택 녹음 건너뛰기와 연습 도움 후 재시도는 기존 기능 유지. 첨부 이미지의 T19 아동 표시 화면은 이번 요청 범위에 추가하지 않음.</t>
  </si>
  <si>
    <t>FR-A09 현행 본문</t>
  </si>
  <si>
    <t>기존 키워드 변경·초기화 대신 T20의 아동별 추가 종료 표현 관리로 변경. 기본 표현은 항상 유지.</t>
  </si>
  <si>
    <t>FR-E05의 호출어·명령어(쉬기·건너뛰기·다시 하기·그만하기)를 확인·변경하고 초기값으로 되돌린다. 변경한 키워드는 다음 활동부터 적용하고 기기 시작 안내(FR-E01)에 반영된다. 입력 제한(길이, 중복, 비슷한 발음)은 구현 시 정한다.</t>
  </si>
  <si>
    <t>[시간 가드레일] FR-F18·F01·B06·C06: 이유 없는 연속 대화 오디오 공백 4분에 비정상 단절, 추가 약 2분(명세 기본값 2분, 총 6분)에 자동 종료. 정상 대화 음성 복구 시 초기화. 앱 이동·재진입만으로 초기화하지 않음. 준비·기록 정리·종료 상태 제외.</t>
  </si>
  <si>
    <t>변경·초기화한 키워드가 저장되고 다음 활동의 인식과 시작 안내에 사용된다. 진행 중인 활동에는 적용되지 않는다.</t>
  </si>
  <si>
    <t>FR-E05 (구버전)</t>
  </si>
  <si>
    <t>키워드 기반 음성 활동 제어</t>
  </si>
  <si>
    <t>[알림·종료] FR-A10·B10·C08·F11·F14·NFR-06: 자동 종료 시 중단 전 기록 보존, 부모 앱 알림과 16/24 전환. 백그라운드·닫힌 앱은 푸시 선택·재진입으로 연결. 공백 지속을 아동 종료 의도나 능력 실패로 추정하지 않음. 4분 판정과 종료 알림 시점을 구분.</t>
  </si>
  <si>
    <t>FR-E05 현행 본문</t>
  </si>
  <si>
    <t>쉬기·건너뛰기·재개 명령 제외. 호출어+등록 문장 정확 일치 규칙을 종료 의도 인식으로 변경.</t>
  </si>
  <si>
    <t>쉬기·건너뛰기·재개·종료는 현재 설정된 키워드를 인식했을 때만 해당 명령으로 판단한다. 키워드는 호출어와 명령어로 구성한다(예: '○○야, 쉬기' → 쉬기). 기본 키워드는 호출어(이름은 팀이 정함)와 명령어 '쉬기'·'건너뛰기'·'다시 하기'·'그만하기'이며, 보호자가 바꾼 키워드는 FR-A09를 따른다. 키워드가 없는 발화는 역할 속 대사('알겠어, 그만하자')든 활동 종료·거부로 들리는 표현('그만할래')이든 제어 명령으로 처리하지 않고 대화·연습 발화로 다룬다(의도된 동작). 아동은 키워드로 명확한 의사를 표현하고, 보호자는 필요하면 앱에서 종료한다(FR-B07). 기기 재생 음성을 아동 명령으로 취급하지 않는다. 종료 명령 이후 처리는 FR-E10을 따른다.</t>
  </si>
  <si>
    <t>기본 키워드 4종이 각각 해당 명령으로 인식된다. 키워드 없는 유사 발화와 기기 음성 재유입은 명령으로 처리되지 않는다.</t>
  </si>
  <si>
    <t>[연결 장애] FR-A06·E11·E10·A10: 연결 끊김은 발생 시 부모 앱에서 고지하고 부모가 아이에게 전달. 기기 장애·복구·종료 안내 음성 없음. 연결 장애로 공백이 지속되는 경우에도 4분+기본 2분 규칙을 적용하며 종료한 세션은 자동 재개하지 않음.</t>
  </si>
  <si>
    <t>FR-B06 (구버전)</t>
  </si>
  <si>
    <t>FR-B06 현행 본문</t>
  </si>
  <si>
    <t>[정합성] 공통규칙·라벨·요약·화면 동선과 FR 양방향 참조 갱신. 시간 기준 미확정·쉬기 처리 미결 문구 해소. 기존 로그인/키워드 제어/쉬기 원문은 제외·이관에 과거 이력으로 보존. 역할별 정보·녹음 동의·Goal Library 콘텐츠·리포트 동의의 기존 미결은 유지.</t>
  </si>
  <si>
    <t>쉬는 중(13) 화면·paused 상태를 제외. 번호13은 추적용 미사용으로 보존.</t>
  </si>
  <si>
    <t>시작 안내(11), 자유대화 진행(12), 명시적인 쉬기(13)를 구분한다. 12에서 녹음기 타임라인 형태로 대화 턴의 진행과 음성·연결 상태를 보여준다. 녹색은 AI 발화와 아동의 유효한 음성 입력이 이어지는 정상 턴 진행, 노란색은 일반 응답 대기를 넘어 턴 진행이 멈춘 구간, 회색은 음성 입력·연결·인식 문제로 진행 여부를 확인하기 어려운 구간이다. 쉬기는 별도 paused 상태로 표시한다. 짧은 침묵·생각 시간만으로 이상 상태를 만들지 않는다. 색상은 능력·반응 적절성 평가가 아니며 상태명도 함께 표시한다. 실시간 발화·자막·부모 마이크·다음 질문 버튼은 두지 않는다.</t>
  </si>
  <si>
    <t>대화 내용 없이 정상 진행·명시적 쉬기·예상하지 않은 단절·음성 문제를 구분한다. 앱 재진입 시 기존 타임라인과 현재 상태가 복원된다. 종료한 활동에는 종료 버튼을 표시하지 않는다.</t>
  </si>
  <si>
    <t>[참고] 사용자 첨부 「v0.4 확장 · 끼리꼬 아동 화면 + 종료 표현 설정.png」 중 T20 설정 연결·적용 규칙과 2026-10-06 채팅 수정 요청. 이미지의 과거 쉬기·T19 화면·구형 화면 연결은 이번 요청 범위에 맞게 적용하지 않음.</t>
  </si>
  <si>
    <t>FR-E11 (구버전)</t>
  </si>
  <si>
    <t>음성 인식 실패·연결 끊김</t>
  </si>
  <si>
    <t>v0.8</t>
  </si>
  <si>
    <t>FR-E11 현행 본문</t>
  </si>
  <si>
    <t>[개요] v0.7.1 원본을 보존한 별도 파일. 합의한 30-screen 개편 반영. 기존 7개 시트와 FR ID 체계·서식을 유지하고 본문·화면·규칙·집계를 연결해 갱신.</t>
  </si>
  <si>
    <t>짧은 시간 안에 복구되지 않으면 종료라는 문구를 4분+기본2분 가드레일로 구체화하고 부모 앱 전용 고지 반영.</t>
  </si>
  <si>
    <t>음성 인식·전송이 시스템 오류로 반복 실패하거나 진행 중 연결이 짧은 시간 안에 복구되지 않으면 기기가 음성을 멈추고 활동을 기술 문제로 종료한다. 같은 활동은 이어가지 않고 보호자가 새로 시작한다. 정상 대화로 간주하지 않는다. 아동 발화가 불명확하거나 판독되지 않는 경우는 기술 문제가 아니며 FR-F10(보류)과 공통규칙의 무응답 규칙을 따른다.</t>
  </si>
  <si>
    <t>기술 문제 종료가 보호자 종료 안내와 기록 상세에서 구분된다. 연결 끊김 시 기기 음성이 멈추고 종료된 활동이 이어서 재개되지 않는다. 진행 문제 표시는 FR-F18, 보호자 알림은 FR-A10을 따른다.</t>
  </si>
  <si>
    <t>[자유대화 준비] FR-B01 목적 선택 제거, FR-B02 모든 배경 입력 선택화, FR-B03 빈 상태·수정·삭제, FR-B05 목적 확인 제거. 07 시작 → 08 배경(선택) → 09 녹음(선택) → 10 준비.</t>
  </si>
  <si>
    <t>FR-A06 (구버전)</t>
  </si>
  <si>
    <t>개정 원문 보관 (v1.1)</t>
  </si>
  <si>
    <t>[복귀] FR-B04 생활 대화 녹음 추가를 요구사항으로 복귀(Should). 추가·변경·제거·건너뛰기 제공. 과거 제외 원문은 제외·이관에 복귀 이력으로 보존. 제3자 음성 등 동의 정책 확정 필요. FR-A03·F03·F05 및 공통규칙 연계 수정.</t>
  </si>
  <si>
    <t>FR-A06 현행 본문</t>
  </si>
  <si>
    <t>아동 서비스·보호자 서버 분리 구조(2-Spring v0.4) 확정에 따라 v0.8.2의 직접/중계 미정·기기 관리 연결 구분·기기 자체 대응 정책 제안을 확정 구조로 재작성.</t>
  </si>
  <si>
    <t>[설계 전제] 독립형 음성 기기는 부모 앱의 실행·인터넷 연결에 의존하지 않고 대화하며 앱은 조회·조작을 담당한다. 필수 연결이 정상이면 앱 닫힘·앱만 오프라인이어도 활동·기록을 유지한다. [기능상 구분] 음성 대화 연결은 기기와 GPT Live 간 음성 교환(직접 또는 서비스 서버 중계), 기기 관리 연결은 기기와 서비스 서버 간 상태·시작/종료·필요 기록 교환, 부모 앱 연결은 앱과 서비스 서버 간 조회·조작이다. 별도 물리 연결 3개를 요구하지 않는다. 04·05·06·10·20과 진행 화면에서 대상별 정상·장애 확인·상태 미확인을 구분한다. 새 활동은 필요한 연결 준비와 기존 활동 종료 여부가 확인되어야 시작한다. 원인 불명 시 “기기 상태 확인 불가”로 표시하고 단독 “연결 끊김” 표시는 쓰지 않는다. 보호자 스마트폰 대화 대체와 MVP 기기 프로필 등록·페어링 제외는 유지한다. [결정 필요] 실제 직접/서버 중계 구조, 휴대폰 핫스팟·음성 중계 의존, 필수 관리 연결 범위, 상태 유효시간. 의존 구조가 있으면 독립형 전제의 성립 여부를 재검토한다.</t>
  </si>
  <si>
    <t>[진행·알림] FR-B06·C06·F01 수정, FR-A10 활동 중단 푸시·FR-F18 대화 진행 상태 판정 신규(Must). 녹색 정상 턴, 노란색 예상하지 않은 단절, 회색 음성·연결 확인 불가, paused 명시적 쉬기. 생각 시간 제외, 발화 원문 미노출, 앱 재진입 복원.</t>
  </si>
  <si>
    <t>음성 대화 연결만 장애, 기기 관리 연결만 장애, 부모 앱 연결만 장애를 각각 주입하여 해당 대상과 확인 수준을 구분한다. 앱만 오프라인일 때 기기의 음성·필수 관리 연결을 유지하면 활동·기록이 지속되고 앱에는 마지막 확인 시각·상태가 표시된다. 준비 상태 미확인·필수 연결 장애·기존 세션 종료 미확인 시 새 활동을 허용하지 않는다. 확정 전 구조·지원 기능을 구현 완료로 표시하지 않는다.</t>
  </si>
  <si>
    <t>활성 요구사항의 삭제가 아닌 개정 전(v0.8.2) 원문 보존. 현재 동작은 요구사항·공통규칙 참조.</t>
  </si>
  <si>
    <t>[종료·기록] FR-B08·B10·C07·C08은 종료 안내와 해당 기록 이동으로 변경. 기존 자유대화·연습 결과 내용은 FR-D02(27)로 이동. FR-D01·D04·F05·F09·F11·F12·F17 및 C09의 일상 지원 진입 수정. 연습의 22 기록 정리 화면 유지.</t>
  </si>
  <si>
    <t>[목표 추천] FR-C01·C02·C03·F06 수정, FR-F19 연습 목표 Library 신규(Must). 기록 없음: 연령 기반, 기록 있음: 근거 기록을 연결한 추천. 근거 부족 시 연령 기반 대안 명시. 추천 이외 지원 목표 선택 허용. FR-F10에 Library 판정 기준 연계.</t>
  </si>
  <si>
    <t>[확정 요구] 부모 앱 연결만 장애면 기기의 정상 대화·기록을 종료하지 않는다. 음성 대화 연결 장애가 확인되면 기기 대화를 기술적으로 일시 정지하고 복구를 시도하며 기존·지연 응답 재생과 새로운 대화용 음성 전송을 중지한다. 복구 제어 통신은 대화 음성 전송과 구분한다. 원격에서 정지 사실을 확인하지 못했다면 정지 완료로 표시하지 않는다. 재생·전송 중지의 실행 위치와 현재 기기 지원은 확인 필요다. 종료 전이며 종료 요청이 남아 있지 않고 활동 상태·대화 맥락을 정상 복원할 수 있을 때만 재개한다. 확인된 음성 대화 장애 또는 이후 확정된 기기 관리 대응 정책의 복구 실패·복원 불가 시 기기에서 기술 문제로 종료하고 부모 앱은 기기 종료 확인 여부·확보 기록 범위를 구분한다. 종료 확인 미수신은 요청됨/확인 안 됨이며 원격 즉시 종료를 보장하지 않는다. [정책 제안·결정 필요] 필수 기기 관리 연결의 지속 장애를 기기가 자체 감지하면 기술적 일시 정지·복구 후 대기시간 내 실패 시 기기 종료. 단순 상태 갱신 지연과 구분하며 서버는 관리 정보 미수신만으로 실제 대화 중단을 단정하지 않는다. [결정 필요] 연결 구조·필수 관리 범위·장애 판정 및 복구 대기시간·재시도·재개 조건·기기 자체 중지와 고정 안내 지원. 가능하면 기기 자체 고정 안내를 제공하되 문구·횟수·적용 정책을 확정하기 전 지원을 약속하지 않는다. 불명확 발화·침묵·마이크 문제·AI 지연을 연결 장애로 일괄 판정하지 않고 FR-F10·F18을 따른다.</t>
  </si>
  <si>
    <t>음성 연결만 장애일 때 확인된 기기는 대화 전송·재생을 멈추고 12/21에서 기술 복구 상태를 표시한다. 관리 연결만 장애면 대화 진행 여부는 미확인으로 표시하고 제안 정책을 확정 규칙처럼 적용하지 않는다. 복구 성공 테스트는 종료 전이며 종료 요청이 없고 상태·맥락 복원 조건을 충족한 경우에만 재개한다. 확인된 음성 장애 또는 확정된 관리 정책의 복구 실패/복원 불가는 기술 종료를 수행하되 기기 확인 미수신 시 완료로 표시하지 않는다. 이미 종료된 활동은 재개하지 않는다. 미정 시간·기기 지원을 확정하고 그 조건으로 시험한다.</t>
  </si>
  <si>
    <t>[통합] FR-B09 결과 화면에서 미리 고르기는 FR-C02·FR-F06에 통합하고 활성 목록에서 제거. 원문을 제외·이관에 보관. 목표 선택은 18·19에서 하며 별도 시작 요청은 20에서 수행.</t>
  </si>
  <si>
    <t>[우선순위] FR-D02·FR-C03·FR-C06 Should → Must. 기록 상세가 결과 확인의 유일한 위치가 되고, 자유대화 없는 첫 연습과 연습 타임라인이 이번 필수 흐름에 포함됨. 다른 기존 우선순위는 유지.</t>
  </si>
  <si>
    <t>[화면 참조] T01~T18 통합 구현 단위 대신 01~30 화면으로 재작성. 11 안내·13 쉬기·14 종료 확인·15 미참여는 자유대화·연습 공용. 음성 키워드 설정은 SET-01 보조 화면(기존 Figma T20)으로 유지. 요구사항 관련 화면과 화면별 FR을 양방향 점검.</t>
  </si>
  <si>
    <t>[규칙·라벨] 결과 접근, 상태 색상·쉬기 구분, 중단 푸시, 기록 유무별 목표 추천, 생활 녹음 정책을 반영. 과거 자유대화 선행·녹음 제외 규칙 수정. 기능 묶음 11을 종료 안내·기록 연결로 정리하고 결과 조회·재시도는 12에 배치.</t>
  </si>
  <si>
    <t>[미확정 보존] 생활 녹음 동의·이용 정책, 정상 대기·중단 판정·푸시 및 복구 기준값, 실제 Goal Library 목록·권장 연령 구간은 별도 확정. 기존 미결정 중 역할별 정보, 시작 안내 중 쉬기 처리, 리포트 동의 범위는 변경하지 않음. 목표 용어·확정 시점은 이번 개편으로 정리.</t>
  </si>
  <si>
    <t>[서식·집계] 기존 제목·남색 표 머리글·글꼴·열 구조 보존. 긴 설명은 줄바꿈·열 너비·행 높이를 읽기 좋게 조정. 활성 요구사항 63 → 66건(복귀 1, 신규 3, 통합 1). 과거 이력 원문 유지. 요약·화면 참조 집계 수식 범위 갱신.</t>
  </si>
  <si>
    <t>v0.7.1</t>
  </si>
  <si>
    <t>[개요] 같은 규칙이 여러 요구사항에 반복된 중복 13건을 정리하고 모호한 문장 5건을 고침. 팀 결정이 필요한 4건은 미반영(맨 아래 행). 요구사항 66건 → 63건(통합 2, 삭제 1). Must 47→Must 46, Should 16→Should 14, Could 3. v0.7 파일은 그대로 두고 사본으로 작성</t>
  </si>
  <si>
    <t>[삭제·통합] NFR-08 보존·삭제 정책 삭제: 네 문장이 모두 FR-F04(원음 저장)·F11(중단 전 기록 보존)·A08(연쇄 삭제·철회 시 활동 종료)에 있음. NFR-02 아동 데이터 처리 조건 → FR-A03 완료 기준에 '동의 범위 밖의 수집·저장·이용이 없다'로 통합. FR-F13 일상 지원 매칭 → FR-C09에 통합(초기 지원 목록 제공, 미승인·검색 점수 노출 금지, 맞는 항목이 없거나 목록이 비면 '추가 관찰 필요'), 화면 T14 관련 FR에서 F13 제거. 원문은 '제외·이관' 탭(헤더를 '옮기기 전 우선순위/상세/완료 기준'으로 변경)</t>
  </si>
  <si>
    <t>[소유 정리 · 중단] '종료 요청과 기기 중단 확인 구분', '확인 없는 요청을 완료로 표시 안 함'은 FR-B07이 소유. NFR-06 상세에서 해당 문장을 'FR-B07을 따른다'로 바꾸고, 완료 기준에서 '종료 확인 없는 요청을 완료로 표시하지 않는다' 삭제(→ '이전 응답과 중복 응답이 재생되지 않는다'). '중단 후 이전 응답 재생 금지'는 NFR-06이 소유. FR-F14 완료 기준 '중단 후 이전 응답이 재생되지 않는다' → '실제 재생 구간 기록, 대기 응답·Cue 취소, 질문 핵심 미재생 기회 무효'</t>
  </si>
  <si>
    <t>[소유 정리 · 정보 전달] 대화 역할에 보내지 않는 정보(판정 기준·보호자 입력 원문·이전 판정)는 FR-F15가 소유. NFR-04: '각 처리에 필요한 최소 정보만 보낸다' + F15 참조로 축소, 완료 기준 '금지 필드' → '처리 목적 밖의 필드'. FR-F03의 '대화 역할에는 보호자 입력 원문을 직접 전달하지 않는다' → 'FR-F15를 따른다'</t>
  </si>
  <si>
    <t>[소유 정리 · 시작 조건] 공통규칙에 '활동 시작 / 활동 시작 조건' 행 추가(기기 연결·필수 동의·진행 중 활동 없음, 중복 제출 방지, 요청 전 취소는 기기에 요청 안 함). FR-B05·C05·F01의 같은 문장을 공통규칙 참조로 변경. 조건의 원천인 FR-A03(동의)·A06(기기 연결)은 유지</t>
  </si>
  <si>
    <t>[소유 정리 · 음성 대화] 미참여 원문 미저장: FR-E01·E02 완료 기준을 FR-F11 참조로. 키워드 없는 종료 표현: FR-E02 완료 기준 '진행 중 키워드 없는 거부 표현으로 활동이 종료되지 않는다' 삭제, 상세는 'FR-E05를 따른다'. 종료 명령 후 출력 중단: FR-E05 완료 기준에서 삭제하고 FR-E10이 소유(E05 상세에 'FR-E10을 따른다' 추가, E10 완료 기준에 '기존 출력이 멈춘다' 추가). 첫 반응 전 Cue 금지: FR-E07이 소유('같은 말 반복·속도 조절은 할 수 있다'를 E04에서 E07로 이동), FR-E04·F01은 참조</t>
  </si>
  <si>
    <t>[소유 정리 · 표현 제한 등] 점수·평가·효과 단정 금지 문장을 FR-B08('점수·등급·평가 문구는 없다')·C09('효과를 보장하는 표현은 쓰지 않는다')·D05('향상·효과로 단정하지 않는다')·E10('점수·잘함/못함·계속 이용 압박 문구는 없다')에서 NFR-01(·NFR-09) 참조로 변경. 화면별 고유 기준(B10 실패·0점 표현 금지, C07 성공률·점수 없음, D05 진단 결과 아님 명시)은 유지. FR-A04 완료 기준의 아동 고지는 FR-E01 참조로. FR-C01은 목표 선택을 FR-C02, 빈 목록을 FR-C03 참조로</t>
  </si>
  <si>
    <t>[모호성 해소] FR-E09는 '같은 활동 안에서', FR-F08은 '이전 활동의 노출 이력'으로 범위 명시(Must인 E09가 Should인 F08 범위까지 요구하던 모호함 해소). FR-E11 '인식 실패가 반복되거나' → '음성 인식·전송이 시스템 오류로 반복 실패하거나', 불명확·판독 불가 발화는 FR-F10(보류)·공통규칙 무응답 규칙을 따른다고 명시. FR-B06·B11에 '자유대화·연습 공통' 명시. 용어: FR-A08 '음성 원본' → '원음', FR-A03 '음성 수집' → '음성 수집(전사를 위한 처리)'. FR-D04의 '같은 행동을 다시 연습할 때도 추천·선택 절차를 거친다'를 FR-C02로 이동</t>
  </si>
  <si>
    <t>[미반영 · 팀 결정 필요] (1) 대화 역할에 판정 기준을 주지 않는 FR-F15와 도움을 대화 중 실시간으로 만드는 FR-E08의 관계: 상대 역할과 진행·도움 역할을 구분할지, 각 역할이 받을 수 있는 정보. (2) '연습 목록·후보·추천 후보·목표' 용어 통일과 목표 확정 시점(FR-B09 골라두기 / C02 최종 선택 / C02 완료 기준 '세션 계획에 고정'). (3) 시작 질문 단계의 '쉬기' 처리(FR-E02 '쉬기는 쉬기로 구분' vs FR-E05 키워드 없는 발화는 명령 아님). (4) FR-A03 '리포트 생성·외부 전달(선택)' 동의가 PDF 저장만 있는 상황(FR-D06)에서 무엇을 허용·차단하는지</t>
  </si>
  <si>
    <t>v0.7</t>
  </si>
  <si>
    <t>[중복 정리] FR-E05와 FR-A09의 역할 분리: FR-E05(아동, Must)는 현재 설정된 키워드로 활동을 제어하는 것만, FR-A09(보호자, Should)는 키워드 변경·초기화·다음 활동부터 적용을 담당. FR-E05 상세: '보호자가 앱 설정(FR-A09)에서 호출어·명령어를 변경하고 초기값으로 되돌릴 수 있다. 설정 변경은 다음 활동부터 적용한다' → '보호자가 바꾼 키워드는 FR-A09를 따른다', '지정된 키워드' → '현재 설정된 키워드', '초기 설정값' → '기본 키워드'. FR-E05 완료 기준에서 '보호자가 변경한 키워드가 적용되고 초기값 복원이 가능하다' 삭제(FR-A09 완료 기준과 중복). 우선순위 재분류 후 Must인 FR-E05가 Should인 FR-A09 기능에 의존하던 모순 해소. FR-A09는 변경 없음</t>
  </si>
  <si>
    <t>[우선순위 재분류] 65/66건이 Must여서 우선순위가 일정 부족 시 판단 기준이 되지 못함. Won't는 '제외·이관' 탭으로 옮겨졌으므로, 우선순위는 '일정이 밀리면 무엇을 줄이거나 미룰 수 있나'를 나타내도록 기준 재정의(라벨정의 Must·Should·Could). Must 65·Should 1·Could 0 → Must 47·Should 16·Could 3. Must → Should(15): FR-A08 데이터 삭제·동의 철회, FR-A09 음성 키워드 설정(초기값으로 동작), FR-B03 입력 확인·수정, FR-B09 결과 화면 미리 고르기(C02로 대체), FR-B10 불완전 종료 결과·FR-C08 부분 결과(종료 사유만 표시로 단순화 가능), FR-C03 첫 이용 대응, FR-C06 연습 상태 확인(B06으로 대체), FR-C09 일상 지원 확인·FR-F13 일상 지원 매칭, FR-D02 기록 상세(결과 화면 재사용), FR-E04 다시 듣기·속도·설명, FR-F08 새 상황 중복 방지(활동 간 이력, 한 활동 안 새 상황은 E09 Must), FR-F17 결과 생성 재시도(실패 안내로 대체), NFR-08 보존·삭제 정책(중단 전 기록 보존은 F11 Must). Must → Could(3): FR-B11 참여 거부 안내, FR-D04 다음 활동 선택, NFR-11 기기 독립성. ※ FR-A08·NFR-08(9/30 D-08), FR-F17(9/30 D-06)은 팀이 Must로 정했던 항목을 이번에 Should로 내린 것. WBS 기초자료 우선순위도 동일하게 수정</t>
  </si>
  <si>
    <t>[개요] 「요구사항 명세서 v0.6 내용 구조 검토」 의견 중 합의한 항목과 추가 점검 4건을 반영. 요구사항 75건 → 66건(삭제 1, 제외 범위 3, 통합 1, 이관 4). 요구사항 탭에서 빠진 항목의 원문은 새 '제외·이관' 탭에 보관. v0.6 파일은 그대로 두고 사본으로 v0.7 작성</t>
  </si>
  <si>
    <t>[삭제] FR-C04 추가 화용 행동 범위(Won't): 내용이 FR-C02·F06과 중복. 화면 탭 T12의 관련 FR에서 C04 제거</t>
  </si>
  <si>
    <t>[제외 범위] FR-B04 생활 녹음 추가, FR-D03 생활 관찰 입력(모두 Won't): 요구사항 탭에서 '제외·이관' 탭으로 이동. 이에 따라 FR-B04 완료 기준('준비 중' 표시)과 FR-C04('준비 중' 표시 없음)의 충돌도 해소. 화면 탭 '(18개 밖) 생활 관찰 입력' 행에 제외 표시</t>
  </si>
  <si>
    <t>[제외 범위] FR-F16 검토 큐(Could): '팀 검토자'가 서비스 사용자 정의(보호자·아동·전문가)에 없고 위험 발화 대응은 추후 개발로 정해져 있어 운영 도구 Backlog로 이동. 연쇄 수정: FR-F02의 'FR-F16, Could' 참조 → '제외·이관' 탭 참조, 화면 T13 상태 '검토 중' → '판정 보류'(FR-F10의 보류)</t>
  </si>
  <si>
    <t>[통합] NFR-03 AI 서비스 고지 → FR-A04·FR-E01로 통합 후 삭제. FR-A04 상세: '동의 화면과 이용약관에 표시' → '가입·동의 화면과 이용약관에 사전 고지'. FR-A04 완료 기준에 '아동에게는 시작 안내 음성으로 고지된다(FR-E01)' 추가</t>
  </si>
  <si>
    <t>[이관] NFR-05 응답 지연 → 성능 측정 계획(목표값이 없어 측정 계획에 해당), NFR-07 회귀 시험 → 테스트 계획서(검증 방법), NFR-10 공급자 교체 가능성 → ADR(아키텍처 결정, ADR-002·004·007), NFR-12 비용 추적 → 운영. 성능 측정 계획·테스트 계획서는 아직 없어 원문을 '제외·이관' 탭에 보관</t>
  </si>
  <si>
    <t>[부분 이관] NFR-11 기기 독립성: '서비스는 아동 기기 형태에 의존하지 않고, 웹 음성 클라이언트와 향후 인형 형태에서 보호자 앱·아동 사용 방식이 같다'는 제품 제약만 남김. '서버·보호자 앱의 기기 외형·물리 버튼·AI 처리 위치 비의존, 기기 인터페이스 명세 문서화'는 ADR로 이관. 완료 기준: '기기 인터페이스 명세가 문서화된다' → '보호자 앱의 기능·화면이 아동 기기 형태에 따라 달라지지 않는다'</t>
  </si>
  <si>
    <t>[범위 선언 이동] '법적 검토는 프로젝트 범위에서 제외' 문장을 NFR-02('법령·공급자별 아동 이용 조건 검토는 범위 제외')·NFR-03·NFR-08('법적 보존 기간은 다루지 않음')에서 지우고 라벨정의 '작성 기준 - 법적 검토' 한 곳에 기재. NFR-02 상세는 '아동 데이터는 보호자 동의(FR-A03) 범위 안에서만 처리한다'만 남음</t>
  </si>
  <si>
    <t>[정책 보완] FR-F06 연습 후보 추천: '행동 정의·기회 조건·상황 생성 조건·판정 기준을 모두 구성할 수 있는 행동만 목록에 추가한다' 추가, 완료 기준에 '네 가지 중 하나라도 구성하지 못한 행동은 목록에 추가되지 않는다' 추가. AI가 행동을 정의하는 범위가 무제한이라는 지적에 대한 시스템 조건이며 사람의 검토는 없음(D-01 결정 유지)</t>
  </si>
  <si>
    <t>[표현 명확화] FR-C02: '목록에 추가된 행동은 별도 검토 없이 보호자에게 표시' → '사람의 검토 없이'. FR-F06의 시스템 추가 조건과 구분하기 위함</t>
  </si>
  <si>
    <t>[정책 보완] FR-F10 반응 판정: '행동별 판정 기준을 저장하고 같은 행동에는 같은 기준을 쓴다' → '행동의 핵심 기능 정의와 판정 기준을 저장하고, 같은 행동에는 같은 핵심 기능 정의를 쓰되 관계·상황·기회 조건에 따른 판정 조건을 함께 적용한다'. 완료 기준도 '저장된 핵심 기능 정의와 해당 상황의 판정 조건을 따른다'로 수정</t>
  </si>
  <si>
    <t>[정책 변경] FR-F04 '전사와 버전 관리' → '전사 저장': 수정본을 만드는 사용자·화면이 없어 'MVP에서는 전사 수정 기능을 두지 않는다'로 변경하고 원본·수정본 버전 보존 삭제. 'review_needed 표시' → '불확실 구간 표시, 그 구간만으로 목표 행동 미관찰을 확정하지 않음(FR-F10)'. 완료 기준: '전사 수정 시 이전 버전이 남는다' → '전사가 저장되고 불확실 구간이 표시된다. 원음은 보관 동의가 있을 때만 저장된다'</t>
  </si>
  <si>
    <t>[중복 정리] 연결 장애 처리 규칙('연결이 짧은 시간 안에 복구되지 않으면 기기 음성 중단 → 기술 문제 종료 → 같은 활동 재개 없이 보호자가 새로 시작')을 FR-E11에 모음. FR-B07·F01·NFR-06의 같은 문장은 '연결 장애 시 처리는 FR-E11을 따른다'로 변경. NFR-06 완료 기준의 연결 끊김 시험은 FR-E11 완료 기준('연결 끊김 시 기기 음성이 멈추고, 종료된 활동이 이어서 재개되지 않는다')으로 이동</t>
  </si>
  <si>
    <t>[중복 정리] FR-B10·C08·F11의 '종료 사유·결과 상태·부족/미실시 사유 구분'을 공통규칙 '종료·결과 3축' 참조로 정리. FR-B10은 '공통 결과 템플릿(T10)에 3축에 따라 표시'로, FR-C08·F11은 참조만 추가</t>
  </si>
  <si>
    <t>[참조 수정] 스프레드시트에 없는 v0.4.2 마크다운 절 번호 참조 교체: FR-B06 '(8.2)' → 공통규칙 '상태의 의미'·화면 탭 T08 상태 변형, FR-B10 '(7절·8.3)' → 공통규칙 '종료·결과 3축', FR-F01 '(7절)' → 공통규칙 '상태의 의미', FR-F11 '(7.2)' → 공통규칙 '종료·결과 3축', NFR-01 완료 기준 '(7.4절)' → 공통규칙 '표시·생성 금지'</t>
  </si>
  <si>
    <t>[표현 수정] FR-F13: '초기 지원 목록은 개발자가 DB에 직접 등록한다' → '개발팀이 제공한다'(구현 방식 제거). FR-E08 완료 기준: '도움에 정답 문장이 포함되지 않는다' → '기록된 도움 내용에서 정답 문장 포함 여부를 확인할 수 있다'(도움을 실시간 생성하므로 재생 전 보장 불가). 상세의 '정답 문장은 알려주지 않는다'는 유지</t>
  </si>
  <si>
    <t>[미반영 · 요약·라벨] 검토 의견 중 반영하지 않은 것: 7.1 키워드 없는 종료 의사 처리(팀 결정 필요, 9/29 키워드 방식 유지), FR-B02+B03 통합·FR-B05/C05 공통 시작 규칙(선택), FR-B06/C06 분리(이미 분리되어 있음), FR-F07+F08 통합(분리 유지), F 계열의 기능명세서 분리(범위 결정 필요). 요약 탭: 제목 v0.7, '제외·이관 항목' 건수 추가. 라벨정의: Won't 설명에 '제외·이관' 탭 안내, 작성 기준에 검증·성능·운영 항목 제외와 '법적 검토' 행·'제외·이관 탭' 행 추가</t>
  </si>
  <si>
    <t>v0.5.1</t>
  </si>
  <si>
    <t>결정 사항을 요구사항 본문에 통합하고 미결정 탭 삭제. 요구사항 탭의 '미결정 연계' 열 삭제, 본문·공통규칙·화면의 D-ID 참조 제거. FR-B07·E04·NFR-06에 장애 처리·설명 범위 결정을 본문으로 작성, NFR-02·03은 법적 검토 범위 제외로 수정. 요약·라벨정의의 미결정 항목 제거. 이 아래 이력의 D-ID는 삭제된 미결정 탭의 번호. WBS 기초자료의 미결정 영향 탭도 삭제</t>
  </si>
  <si>
    <t>D-12 결정: 리포트에서 '보호자 관찰' 항목 제외. FR-D03(생활 관찰 입력) Won't·제외, FR-D05 리포트 11개 → 10개 항목, FR-D01 기록 목록에서 생활 관찰 제거. 미결정 D-01~D-14 모두 종료</t>
  </si>
  <si>
    <t>D-04·07·08·09·13 결정(D-12만 남음). 우선순위: FR-D06·NFR-08 Must 상향, NFR-05 Could 격하(지연 목표 미고려, 모델 평가 우선). 본문 수정: FR-A08·F04·F11·NFR-08(원음 저장, 중단 전 기록 보존, 연쇄 삭제, 철회 시 활동 종료), FR-A09·E05·E10(설정 다음 활동부터 적용, 종료 후 마무리 1회), FR-D05·D06(PDF 저장만, 전문가 전달은 보호자 직접), FR-E02(참여 질문 거부만 활동 거부), NFR-05. 공통규칙·화면(T18·T20) 반영. 해소된 D-12 연결(FR-A08·A09·B04·C03) 해제</t>
  </si>
  <si>
    <t>D-02·03·05·06·10·11·14 결정, D-08·13 일부 결정. 우선순위: FR-E11·F14·F17 Must 상향, FR-F16 Could 격하(위험 발화 대응은 추후 개발). 본문 수정: FR-E08(도움은 GPT-Live 실시간 생성, 재시도 1회), FR-F01(분기 규칙), FR-F02(Cue 승인 문구 제거, 위험 대응 문구 Could), FR-F07(자동 확인·재생성 1회·실패 시 미시작·보호자 안내), FR-F10(불확실→보류 후 새 상황), FR-F13(초기 지원 목록 개발자 DB 등록). 공통규칙 연습 분기 반영. 결정된 D 연결 해제. D-14: 법적 문제는 프로젝트 범위에서 제외</t>
  </si>
  <si>
    <t>미결정 탭 재평가: '데모'가 아닌 처음부터 끝까지 동작하는 서비스 기준으로 결정 우선순위(1~3)·재평가·권장안 열 추가. 요약 탭 미결정 표에 우선순위 추가. 권장안의 요구사항 우선순위 변경은 팀 결정 전까지 본문에 반영하지 않음</t>
  </si>
  <si>
    <t>D-01 결정: 연습 목록의 모든 행동이 시작부터 결과까지 동작(개수 제한 없음), 행동 자체는 별도 평가 없이 보호자에게 표시·선택. FR-C02 본문·완료 기준 수정, FR-C02·F06·F07·F08·F09·F10에서 D-01 연결 해제, Must 정의를 '11/5 공개 서비스' 기준으로 변경</t>
  </si>
  <si>
    <t>D-01 일부 결정 반영: 목표 행동은 고정 목록 없이 자유대화에서 AI가 정의해 아동별 연습 목록에 추가, 보호자 최종 선택 유지. FR-C02·C03·F06·F10 수정, FR-C04를 Won't로 변경, 화면 T12 기록 없음 처리 확정</t>
  </si>
  <si>
    <t>계획 정보를 별도 파일 'WBS 기초자료 v0.1'로 이동: 요구사항 탭의 개발 단계·선행 요구사항 열, 개발단계 탭, 미결정 탭의 작업량 영향·막는 개발 단계 열, 요약 탭의 개발 단계×우선순위·기능 묶음×개발 단계 표</t>
  </si>
  <si>
    <t>완료 기준은 요구사항의 검증 기준이므로 명세서에 유지</t>
  </si>
  <si>
    <t>변경 이력 열 삭제(검토 반영). 변경 내용은 이 탭에만 기록</t>
  </si>
  <si>
    <t>작성 기준 추가: 사용자 요구만 싣고 구현 방식 때문에 생기는 사항은 기술 결정 문서(ADR)로 넘김</t>
  </si>
  <si>
    <t>기술 이유로 제안된 신규 후보 4건 제거: FR-E12 안전 종료, FR-E13 재생 종료 감지, FR-E14 무응답 처리, FR-E15 AI 음성 차단 구간. 무응답 원칙은 기존 7.3과 D-06으로 유지</t>
  </si>
  <si>
    <t>변경 후보 5건 제거: FR-A03, FR-A08, FR-F04, FR-F14, NFR-08 (원음 미저장, 기기 페어링 제외, 전사 신뢰도, 우선순위 상향 등 기술 결정 사항)</t>
  </si>
  <si>
    <t>요구사항 탭 열 삭제(v0.5.0 검토 반영): 단계 배정 이유, 주 영역, 함께 필요한 영역, 기술 위험, 확인 방법, 비고. 요약 탭의 구현 영역·확인 방법 집계도 삭제. 'ID' 열 이름을 '요구사항 ID'로 변경</t>
  </si>
  <si>
    <t>FR-A06 변경 승인 반영: 기기-아동 프로필 연결 대신 사용 가능한 아동용 음성 클라이언트의 연결 상태 표시, 등록·페어링은 MVP 제외</t>
  </si>
  <si>
    <t>음성 키워드 설정 화면을 T20(Figma 작성 완료)으로 반영: FR-A09 관련 화면, 화면 탭, D-12</t>
  </si>
  <si>
    <t>신규 후보는 FR-F17 결과 생성 재시도 1건만 유지 (보호자가 직접 쓰는 기능)</t>
  </si>
  <si>
    <t>v0.5.0</t>
  </si>
  <si>
    <t>문서를 스프레드시트로 전환. 요구사항 1건을 1행으로 두고 필터할 수 있게 함</t>
  </si>
  <si>
    <t>라벨 추가: 기능 묶음, 개발 단계, 단계 배정 이유, 주 영역, 함께 필요한 영역, 기술 위험, 확인 방법, 결정 상태, 미결정 연계, 선행 요구사항</t>
  </si>
  <si>
    <t>개발 단계를 우선순위와 분리. Must라도 뒤 단계, Should라도 앞 단계에 둘 수 있음</t>
  </si>
  <si>
    <t>요약 탭 추가. 전체·영역·개발 단계·기능 묶음·구현 영역별 개수를 수식으로 집계</t>
  </si>
  <si>
    <t>신규 후보 5건: FR-E12 안전 종료, FR-E13 재생 종료 감지, FR-E14 무응답 처리, FR-E15 AI 음성 차단 구간, FR-F17 결과 생성 재시도 (ADR-002 v9, GPT-Live 공식 문서 검토)</t>
  </si>
  <si>
    <t>변경 후보 표시 6건: FR-A03, FR-A06, FR-A08, FR-F04, FR-F14, NFR-08. 본문은 바꾸지 않음</t>
  </si>
  <si>
    <t>요구사항 본문(요구사항·상세·완료 기준·우선순위)은 v0.4.2와 같음. 우선순위 '—'는 '보류'로 표기</t>
  </si>
  <si>
    <t>미결정 탭: D-01~D-14에 주제, 작업량 영향, 막는 개발 단계, 연결 요구사항 수, 현재 상태 추가</t>
  </si>
  <si>
    <t>관련 화면: 요구사항의 '관련' 열과 구현 단위 표(8.1)의 관련 FR을 합쳐 T번호로 정리</t>
  </si>
  <si>
    <t>v0.4.2</t>
  </si>
  <si>
    <t>키워드 없는 발화('그만할래')를 제어 명령으로 처리하지 않음을 명시, FR-A09 음성 키워드 설정 신설, 보호자 앱 구현 단위 T01~T18 매칭</t>
  </si>
  <si>
    <t>v0.4.1</t>
  </si>
  <si>
    <t>FR-E05 음성 활동 제어를 호출어+명령어 키워드 방식으로 변경</t>
  </si>
  <si>
    <t>v0.4</t>
  </si>
  <si>
    <t>v0.3 대비 정합성 보완: 종료 사유·결과 상태·부족 사유 분리, 고정 연습 순서 제거, 미결정 D-ID 정리 등</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</si>
</sst>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8">
    <font>
      <sz val="11.0"/>
      <color theme="1"/>
      <name val="Calibri"/>
      <scheme val="minor"/>
    </font>
    <font>
      <b/>
      <sz val="10.0"/>
      <color rgb="FFFFFFFF"/>
      <name val="Arial"/>
    </font>
    <font>
      <b/>
      <sz val="10.0"/>
      <color rgb="FFFFFFFF"/>
      <name val="Noto Sans"/>
    </font>
    <font>
      <b/>
      <sz val="14.0"/>
      <color theme="1"/>
      <name val="Noto Sans"/>
    </font>
    <font>
      <sz val="11.0"/>
      <color theme="1"/>
      <name val="Calibri"/>
    </font>
    <font>
      <sz val="10.0"/>
      <color theme="1"/>
      <name val="Arial"/>
    </font>
    <font>
      <sz val="10.0"/>
      <color theme="1"/>
      <name val="Noto Sans"/>
    </font>
    <font>
      <sz val="9.0"/>
      <color rgb="FF595959"/>
      <name val="Noto Sans"/>
    </font>
    <font>
      <b/>
      <sz val="11.0"/>
      <color theme="1"/>
      <name val="Noto Sans"/>
    </font>
    <font>
      <b/>
      <sz val="11.0"/>
      <color rgb="FF1F3864"/>
      <name val="Arial"/>
    </font>
    <font/>
    <font>
      <b/>
      <sz val="10.0"/>
      <color theme="1"/>
      <name val="Arial"/>
    </font>
    <font>
      <sz val="9.0"/>
      <color rgb="FF595959"/>
      <name val="Arial"/>
    </font>
    <font>
      <b/>
      <sz val="10.0"/>
      <color theme="1"/>
      <name val="Noto Sans"/>
    </font>
    <font>
      <b/>
      <sz val="10.0"/>
      <color rgb="FF1F3864"/>
      <name val="Noto Sans"/>
    </font>
    <font>
      <sz val="10.0"/>
      <color rgb="FF202020"/>
      <name val="Noto Sans"/>
    </font>
    <font>
      <b/>
      <sz val="11.0"/>
      <color rgb="FF1F3864"/>
      <name val="Noto Sans"/>
    </font>
    <font>
      <b/>
      <sz val="11.0"/>
      <color theme="1"/>
      <name val="Calibri"/>
    </font>
  </fonts>
  <fills count="7">
    <fill>
      <patternFill patternType="none"/>
    </fill>
    <fill>
      <patternFill patternType="lightGray"/>
    </fill>
    <fill>
      <patternFill patternType="solid">
        <fgColor rgb="FF1F3864"/>
        <bgColor rgb="FF1F3864"/>
      </patternFill>
    </fill>
    <fill>
      <patternFill patternType="solid">
        <fgColor rgb="FFD9E1F2"/>
        <bgColor rgb="FFD9E1F2"/>
      </patternFill>
    </fill>
    <fill>
      <patternFill patternType="solid">
        <fgColor rgb="FFF2F2F2"/>
        <bgColor rgb="FFF2F2F2"/>
      </patternFill>
    </fill>
    <fill>
      <patternFill patternType="solid">
        <fgColor rgb="FFD9E2F3"/>
        <bgColor rgb="FFD9E2F3"/>
      </patternFill>
    </fill>
    <fill>
      <patternFill patternType="solid">
        <fgColor rgb="FFE5E5E5"/>
        <bgColor rgb="FFE5E5E5"/>
      </patternFill>
    </fill>
  </fills>
  <borders count="6">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0" fillId="0" fontId="3" numFmtId="0" xfId="0" applyAlignment="1" applyFont="1">
      <alignment shrinkToFit="0" wrapText="1"/>
    </xf>
    <xf borderId="0" fillId="0" fontId="4" numFmtId="0" xfId="0" applyFont="1"/>
    <xf borderId="1" fillId="0" fontId="5" numFmtId="49" xfId="0" applyAlignment="1" applyBorder="1" applyFont="1" applyNumberFormat="1">
      <alignment shrinkToFit="0" vertical="top" wrapText="1"/>
    </xf>
    <xf borderId="1" fillId="0" fontId="6" numFmtId="0" xfId="0" applyAlignment="1" applyBorder="1" applyFont="1">
      <alignment shrinkToFit="0" vertical="top" wrapText="1"/>
    </xf>
    <xf borderId="1" fillId="0" fontId="6" numFmtId="49" xfId="0" applyAlignment="1" applyBorder="1" applyFont="1" applyNumberFormat="1">
      <alignment shrinkToFit="0" vertical="top" wrapText="1"/>
    </xf>
    <xf borderId="0" fillId="0" fontId="7" numFmtId="0" xfId="0" applyAlignment="1" applyFont="1">
      <alignment shrinkToFit="0" vertical="center" wrapText="1"/>
    </xf>
    <xf borderId="1" fillId="0" fontId="5" numFmtId="0" xfId="0" applyAlignment="1" applyBorder="1" applyFont="1">
      <alignment shrinkToFit="0" vertical="top" wrapText="1"/>
    </xf>
    <xf borderId="0" fillId="0" fontId="8" numFmtId="0" xfId="0" applyAlignment="1" applyFont="1">
      <alignment shrinkToFit="0" vertical="center" wrapText="1"/>
    </xf>
    <xf borderId="0" fillId="0" fontId="6" numFmtId="0" xfId="0" applyAlignment="1" applyFont="1">
      <alignment shrinkToFit="0" vertical="center" wrapText="1"/>
    </xf>
    <xf borderId="0" fillId="0" fontId="4" numFmtId="0" xfId="0" applyAlignment="1" applyFont="1">
      <alignment shrinkToFit="0" wrapText="1"/>
    </xf>
    <xf borderId="0" fillId="3" fontId="9" numFmtId="0" xfId="0" applyAlignment="1" applyFill="1" applyFont="1">
      <alignment shrinkToFit="0" wrapText="1"/>
    </xf>
    <xf borderId="2" fillId="2" fontId="2" numFmtId="0" xfId="0" applyAlignment="1" applyBorder="1" applyFill="1" applyFont="1">
      <alignment horizontal="center" shrinkToFit="0" vertical="center" wrapText="1"/>
    </xf>
    <xf borderId="3" fillId="0" fontId="10" numFmtId="0" xfId="0" applyBorder="1" applyFont="1"/>
    <xf borderId="4" fillId="0" fontId="10" numFmtId="0" xfId="0" applyBorder="1" applyFont="1"/>
    <xf borderId="1" fillId="0" fontId="6" numFmtId="0" xfId="0" applyAlignment="1" applyBorder="1" applyFont="1">
      <alignment shrinkToFit="0" wrapText="1"/>
    </xf>
    <xf borderId="1" fillId="0" fontId="11" numFmtId="0" xfId="0" applyAlignment="1" applyBorder="1" applyFont="1">
      <alignment shrinkToFit="0" wrapText="1"/>
    </xf>
    <xf borderId="2" fillId="0" fontId="7" numFmtId="0" xfId="0" applyAlignment="1" applyBorder="1" applyFont="1">
      <alignment shrinkToFit="0" wrapText="1"/>
    </xf>
    <xf borderId="2" fillId="0" fontId="12" numFmtId="0" xfId="0" applyAlignment="1" applyBorder="1" applyFont="1">
      <alignment shrinkToFit="0" wrapText="1"/>
    </xf>
    <xf borderId="0" fillId="0" fontId="4" numFmtId="0" xfId="0" applyAlignment="1" applyFont="1">
      <alignment shrinkToFit="0" vertical="top" wrapText="1"/>
    </xf>
    <xf borderId="1" fillId="0" fontId="5" numFmtId="0" xfId="0" applyAlignment="1" applyBorder="1" applyFont="1">
      <alignment shrinkToFit="0" wrapText="1"/>
    </xf>
    <xf borderId="2" fillId="0" fontId="6" numFmtId="0" xfId="0" applyAlignment="1" applyBorder="1" applyFont="1">
      <alignment shrinkToFit="0" wrapText="1"/>
    </xf>
    <xf borderId="0" fillId="0" fontId="4" numFmtId="49" xfId="0" applyAlignment="1" applyFont="1" applyNumberFormat="1">
      <alignment shrinkToFit="0" vertical="top" wrapText="1"/>
    </xf>
    <xf borderId="5" fillId="4" fontId="13" numFmtId="0" xfId="0" applyAlignment="1" applyBorder="1" applyFill="1" applyFont="1">
      <alignment shrinkToFit="0" wrapText="1"/>
    </xf>
    <xf borderId="0" fillId="0" fontId="7" numFmtId="49" xfId="0" applyAlignment="1" applyFont="1" applyNumberFormat="1">
      <alignment shrinkToFit="0" vertical="top" wrapText="1"/>
    </xf>
    <xf borderId="1" fillId="4" fontId="13" numFmtId="0" xfId="0" applyAlignment="1" applyBorder="1" applyFill="1" applyFont="1">
      <alignment shrinkToFit="0" wrapText="1"/>
    </xf>
    <xf borderId="2" fillId="4" fontId="13" numFmtId="0" xfId="0" applyAlignment="1" applyBorder="1" applyFill="1" applyFont="1">
      <alignment shrinkToFit="0" wrapText="1"/>
    </xf>
    <xf borderId="0" fillId="5" fontId="14" numFmtId="0" xfId="0" applyAlignment="1" applyFill="1" applyFont="1">
      <alignment horizontal="left" shrinkToFit="0" vertical="center" wrapText="1"/>
    </xf>
    <xf borderId="0" fillId="0" fontId="15" numFmtId="0" xfId="0" applyAlignment="1" applyFont="1">
      <alignment horizontal="left" shrinkToFit="0" vertical="center" wrapText="1"/>
    </xf>
    <xf borderId="0" fillId="3" fontId="16" numFmtId="49" xfId="0" applyAlignment="1" applyFill="1" applyFont="1" applyNumberFormat="1">
      <alignment shrinkToFit="0" vertical="top" wrapText="1"/>
    </xf>
    <xf borderId="0" fillId="3" fontId="4" numFmtId="49" xfId="0" applyAlignment="1" applyFill="1" applyFont="1" applyNumberFormat="1">
      <alignment shrinkToFit="0" vertical="top" wrapText="1"/>
    </xf>
    <xf borderId="0" fillId="3" fontId="4" numFmtId="0" xfId="0" applyAlignment="1" applyFill="1" applyFont="1">
      <alignment shrinkToFit="0" vertical="top" wrapText="1"/>
    </xf>
    <xf borderId="1" fillId="2" fontId="2" numFmtId="49" xfId="0" applyAlignment="1" applyBorder="1" applyFill="1" applyFont="1" applyNumberFormat="1">
      <alignment horizontal="center" shrinkToFit="0" vertical="top" wrapText="1"/>
    </xf>
    <xf borderId="1" fillId="2" fontId="2" numFmtId="0" xfId="0" applyAlignment="1" applyBorder="1" applyFill="1" applyFont="1">
      <alignment horizontal="center" shrinkToFit="0" vertical="top" wrapText="1"/>
    </xf>
    <xf borderId="2" fillId="0" fontId="6" numFmtId="0" xfId="0" applyAlignment="1" applyBorder="1" applyFont="1">
      <alignment shrinkToFit="0" vertical="top" wrapText="1"/>
    </xf>
    <xf borderId="0" fillId="6" fontId="17" numFmtId="0" xfId="0" applyAlignment="1" applyFill="1" applyFont="1">
      <alignment shrinkToFit="0" vertical="top" wrapText="1"/>
    </xf>
    <xf borderId="1" fillId="0" fontId="5" numFmtId="164" xfId="0" applyAlignment="1" applyBorder="1" applyFont="1" applyNumberFormat="1">
      <alignment shrinkToFit="0" vertical="top" wrapText="1"/>
    </xf>
    <xf borderId="0" fillId="0" fontId="4" numFmtId="164" xfId="0" applyAlignment="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5.0"/>
    <col customWidth="1" min="3" max="7" width="11.0"/>
  </cols>
  <sheetData>
    <row r="1" ht="27.75" customHeight="1">
      <c r="A1" s="3" t="s">
        <v>2</v>
      </c>
      <c r="H1" s="4"/>
      <c r="I1" s="4"/>
    </row>
    <row r="2" ht="51.0" customHeight="1">
      <c r="A2" s="8" t="s">
        <v>19</v>
      </c>
      <c r="H2" s="4"/>
      <c r="I2" s="4"/>
    </row>
    <row r="3" ht="43.5" customHeight="1">
      <c r="A3" s="10" t="str">
        <f>"전체 "&amp;B9&amp;"건. Must "&amp;B24&amp;"건, Should "&amp;C24&amp;"건, Could "&amp;D24&amp;"건. 활성 핵심 "&amp;B13&amp;"개 + 아동 쉬기 적용 미정 1개 + 보조 설정 "&amp;B14&amp;"개."</f>
        <v>전체 66건. Must 52건, Should 11건, Could 3건. 활성 핵심 29개 + 아동 쉬기 적용 미정 1개 + 보조 설정 1개.</v>
      </c>
      <c r="H3" s="4"/>
      <c r="I3" s="4"/>
    </row>
    <row r="4" ht="43.5" customHeight="1">
      <c r="A4" s="11" t="s">
        <v>88</v>
      </c>
      <c r="H4" s="4"/>
      <c r="I4" s="4"/>
    </row>
    <row r="5" ht="43.5" customHeight="1">
      <c r="A5" s="11" t="s">
        <v>97</v>
      </c>
      <c r="H5" s="4"/>
      <c r="I5" s="4"/>
    </row>
    <row r="6" ht="13.5" customHeight="1">
      <c r="A6" s="12"/>
      <c r="B6" s="12"/>
      <c r="C6" s="12"/>
      <c r="D6" s="12"/>
      <c r="E6" s="12"/>
      <c r="F6" s="12"/>
      <c r="G6" s="12"/>
      <c r="H6" s="4"/>
      <c r="I6" s="4"/>
    </row>
    <row r="7" ht="27.75" customHeight="1">
      <c r="A7" s="13" t="s">
        <v>121</v>
      </c>
      <c r="H7" s="4"/>
      <c r="I7" s="4"/>
    </row>
    <row r="8" ht="25.5" customHeight="1">
      <c r="A8" s="2" t="s">
        <v>5</v>
      </c>
      <c r="B8" s="2" t="s">
        <v>135</v>
      </c>
      <c r="C8" s="14" t="s">
        <v>139</v>
      </c>
      <c r="D8" s="15"/>
      <c r="E8" s="15"/>
      <c r="F8" s="15"/>
      <c r="G8" s="16"/>
      <c r="H8" s="4"/>
      <c r="I8" s="4"/>
    </row>
    <row r="9" ht="25.5" customHeight="1">
      <c r="A9" s="17" t="s">
        <v>163</v>
      </c>
      <c r="B9" s="18">
        <f>COUNTA('요구사항'!$A$2:$A$67)</f>
        <v>66</v>
      </c>
      <c r="C9" s="19" t="s">
        <v>194</v>
      </c>
      <c r="D9" s="15"/>
      <c r="E9" s="15"/>
      <c r="F9" s="15"/>
      <c r="G9" s="16"/>
      <c r="H9" s="4"/>
      <c r="I9" s="4"/>
    </row>
    <row r="10" ht="25.5" customHeight="1">
      <c r="A10" s="17" t="s">
        <v>205</v>
      </c>
      <c r="B10" s="18">
        <f>COUNTIF('요구사항'!$B$2:$B$67,"FR")</f>
        <v>61</v>
      </c>
      <c r="C10" s="20"/>
      <c r="D10" s="15"/>
      <c r="E10" s="15"/>
      <c r="F10" s="15"/>
      <c r="G10" s="16"/>
      <c r="H10" s="4"/>
      <c r="I10" s="4"/>
    </row>
    <row r="11" ht="25.5" customHeight="1">
      <c r="A11" s="17" t="s">
        <v>236</v>
      </c>
      <c r="B11" s="18">
        <f>COUNTIF('요구사항'!$B$2:$B$67,"NFR")</f>
        <v>5</v>
      </c>
      <c r="C11" s="19"/>
      <c r="D11" s="15"/>
      <c r="E11" s="15"/>
      <c r="F11" s="15"/>
      <c r="G11" s="16"/>
      <c r="H11" s="4"/>
      <c r="I11" s="4"/>
    </row>
    <row r="12" ht="25.5" customHeight="1">
      <c r="A12" s="17" t="s">
        <v>255</v>
      </c>
      <c r="B12" s="18">
        <f>COUNTA('제외·이관'!$A$2:$A$30)-COUNTIF('제외·이관'!$D$2:$D$30,"복귀 (v0.8)")-COUNTIF('제외·이관'!$D$2:$D$30,"개정 원문 보관 (v0.8.1)")-COUNTIF('제외·이관'!$D$2:$D$30,"개정 원문 보관 (v1.1)")</f>
        <v>13</v>
      </c>
      <c r="C12" s="19" t="s">
        <v>282</v>
      </c>
      <c r="D12" s="15"/>
      <c r="E12" s="15"/>
      <c r="F12" s="15"/>
      <c r="G12" s="16"/>
      <c r="H12" s="4"/>
      <c r="I12" s="4"/>
    </row>
    <row r="13" ht="25.5" customHeight="1">
      <c r="A13" s="17" t="s">
        <v>295</v>
      </c>
      <c r="B13" s="18">
        <f>COUNTA('화면'!$A$2:$A$31)-COUNTIF('화면'!$E$2:$E$31,"적용 결정 필요 (아동 쉬기 전용)")</f>
        <v>29</v>
      </c>
      <c r="C13" s="19" t="s">
        <v>309</v>
      </c>
      <c r="D13" s="15"/>
      <c r="E13" s="15"/>
      <c r="F13" s="15"/>
      <c r="G13" s="16"/>
      <c r="H13" s="4"/>
      <c r="I13" s="4"/>
    </row>
    <row r="14" ht="25.5" customHeight="1">
      <c r="A14" s="12" t="s">
        <v>319</v>
      </c>
      <c r="B14" s="12">
        <f>COUNTA('화면'!$A$32)</f>
        <v>1</v>
      </c>
      <c r="C14" s="12" t="s">
        <v>333</v>
      </c>
      <c r="H14" s="4"/>
      <c r="I14" s="4"/>
    </row>
    <row r="15" ht="27.75" customHeight="1">
      <c r="A15" s="13" t="s">
        <v>338</v>
      </c>
      <c r="H15" s="4"/>
      <c r="I15" s="4"/>
    </row>
    <row r="16" ht="25.5" customHeight="1">
      <c r="A16" s="2" t="s">
        <v>3</v>
      </c>
      <c r="B16" s="1" t="s">
        <v>71</v>
      </c>
      <c r="C16" s="1" t="s">
        <v>131</v>
      </c>
      <c r="D16" s="1" t="s">
        <v>345</v>
      </c>
      <c r="E16" s="1" t="s">
        <v>353</v>
      </c>
      <c r="F16" s="2" t="s">
        <v>356</v>
      </c>
      <c r="G16" s="14" t="s">
        <v>361</v>
      </c>
      <c r="H16" s="4"/>
      <c r="I16" s="4"/>
    </row>
    <row r="17" ht="25.5" customHeight="1">
      <c r="A17" s="22" t="s">
        <v>55</v>
      </c>
      <c r="B17" s="22">
        <f>COUNTIFS('요구사항'!$C$2:$C$67,$A17,'요구사항'!$F$2:$F$67,B$16)</f>
        <v>7</v>
      </c>
      <c r="C17" s="22">
        <f>COUNTIFS('요구사항'!$C$2:$C$67,$A17,'요구사항'!$F$2:$F$67,C$16)</f>
        <v>3</v>
      </c>
      <c r="D17" s="22">
        <f>COUNTIFS('요구사항'!$C$2:$C$67,$A17,'요구사항'!$F$2:$F$67,D$16)</f>
        <v>0</v>
      </c>
      <c r="E17" s="22">
        <f>COUNTIFS('요구사항'!$C$2:$C$67,$A17,'요구사항'!$F$2:$F$67,E$16)</f>
        <v>0</v>
      </c>
      <c r="F17" s="22">
        <f>COUNTIFS('요구사항'!$C$2:$C$67,$A17,'요구사항'!$F$2:$F$67,F$16)</f>
        <v>0</v>
      </c>
      <c r="G17" s="23">
        <f t="shared" ref="G17:G23" si="1">SUM(B17:F17)</f>
        <v>10</v>
      </c>
      <c r="H17" s="4"/>
      <c r="I17" s="4"/>
    </row>
    <row r="18" ht="25.5" customHeight="1">
      <c r="A18" s="22" t="s">
        <v>222</v>
      </c>
      <c r="B18" s="22">
        <f>COUNTIFS('요구사항'!$C$2:$C$67,$A18,'요구사항'!$F$2:$F$67,B$16)</f>
        <v>6</v>
      </c>
      <c r="C18" s="22">
        <f>COUNTIFS('요구사항'!$C$2:$C$67,$A18,'요구사항'!$F$2:$F$67,C$16)</f>
        <v>3</v>
      </c>
      <c r="D18" s="22">
        <f>COUNTIFS('요구사항'!$C$2:$C$67,$A18,'요구사항'!$F$2:$F$67,D$16)</f>
        <v>1</v>
      </c>
      <c r="E18" s="22">
        <f>COUNTIFS('요구사항'!$C$2:$C$67,$A18,'요구사항'!$F$2:$F$67,E$16)</f>
        <v>0</v>
      </c>
      <c r="F18" s="22">
        <f>COUNTIFS('요구사항'!$C$2:$C$67,$A18,'요구사항'!$F$2:$F$67,F$16)</f>
        <v>0</v>
      </c>
      <c r="G18" s="23">
        <f t="shared" si="1"/>
        <v>10</v>
      </c>
      <c r="H18" s="4"/>
      <c r="I18" s="4"/>
    </row>
    <row r="19" ht="25.5" customHeight="1">
      <c r="A19" s="22" t="s">
        <v>355</v>
      </c>
      <c r="B19" s="22">
        <f>COUNTIFS('요구사항'!$C$2:$C$67,$A19,'요구사항'!$F$2:$F$67,B$16)</f>
        <v>6</v>
      </c>
      <c r="C19" s="22">
        <f>COUNTIFS('요구사항'!$C$2:$C$67,$A19,'요구사항'!$F$2:$F$67,C$16)</f>
        <v>2</v>
      </c>
      <c r="D19" s="22">
        <f>COUNTIFS('요구사항'!$C$2:$C$67,$A19,'요구사항'!$F$2:$F$67,D$16)</f>
        <v>0</v>
      </c>
      <c r="E19" s="22">
        <f>COUNTIFS('요구사항'!$C$2:$C$67,$A19,'요구사항'!$F$2:$F$67,E$16)</f>
        <v>0</v>
      </c>
      <c r="F19" s="22">
        <f>COUNTIFS('요구사항'!$C$2:$C$67,$A19,'요구사항'!$F$2:$F$67,F$16)</f>
        <v>0</v>
      </c>
      <c r="G19" s="23">
        <f t="shared" si="1"/>
        <v>8</v>
      </c>
      <c r="H19" s="4"/>
      <c r="I19" s="4"/>
    </row>
    <row r="20" ht="25.5" customHeight="1">
      <c r="A20" s="22" t="s">
        <v>482</v>
      </c>
      <c r="B20" s="22">
        <f>COUNTIFS('요구사항'!$C$2:$C$67,$A20,'요구사항'!$F$2:$F$67,B$16)</f>
        <v>4</v>
      </c>
      <c r="C20" s="22">
        <f>COUNTIFS('요구사항'!$C$2:$C$67,$A20,'요구사항'!$F$2:$F$67,C$16)</f>
        <v>0</v>
      </c>
      <c r="D20" s="22">
        <f>COUNTIFS('요구사항'!$C$2:$C$67,$A20,'요구사항'!$F$2:$F$67,D$16)</f>
        <v>1</v>
      </c>
      <c r="E20" s="22">
        <f>COUNTIFS('요구사항'!$C$2:$C$67,$A20,'요구사항'!$F$2:$F$67,E$16)</f>
        <v>0</v>
      </c>
      <c r="F20" s="22">
        <f>COUNTIFS('요구사항'!$C$2:$C$67,$A20,'요구사항'!$F$2:$F$67,F$16)</f>
        <v>0</v>
      </c>
      <c r="G20" s="23">
        <f t="shared" si="1"/>
        <v>5</v>
      </c>
      <c r="H20" s="4"/>
      <c r="I20" s="4"/>
    </row>
    <row r="21" ht="25.5" customHeight="1">
      <c r="A21" s="22" t="s">
        <v>552</v>
      </c>
      <c r="B21" s="22">
        <f>COUNTIFS('요구사항'!$C$2:$C$67,$A21,'요구사항'!$F$2:$F$67,B$16)</f>
        <v>10</v>
      </c>
      <c r="C21" s="22">
        <f>COUNTIFS('요구사항'!$C$2:$C$67,$A21,'요구사항'!$F$2:$F$67,C$16)</f>
        <v>1</v>
      </c>
      <c r="D21" s="22">
        <f>COUNTIFS('요구사항'!$C$2:$C$67,$A21,'요구사항'!$F$2:$F$67,D$16)</f>
        <v>0</v>
      </c>
      <c r="E21" s="22">
        <f>COUNTIFS('요구사항'!$C$2:$C$67,$A21,'요구사항'!$F$2:$F$67,E$16)</f>
        <v>0</v>
      </c>
      <c r="F21" s="22">
        <f>COUNTIFS('요구사항'!$C$2:$C$67,$A21,'요구사항'!$F$2:$F$67,F$16)</f>
        <v>0</v>
      </c>
      <c r="G21" s="23">
        <f t="shared" si="1"/>
        <v>11</v>
      </c>
      <c r="H21" s="4"/>
      <c r="I21" s="4"/>
    </row>
    <row r="22" ht="25.5" customHeight="1">
      <c r="A22" s="22" t="s">
        <v>707</v>
      </c>
      <c r="B22" s="22">
        <f>COUNTIFS('요구사항'!$C$2:$C$67,$A22,'요구사항'!$F$2:$F$67,B$16)</f>
        <v>15</v>
      </c>
      <c r="C22" s="22">
        <f>COUNTIFS('요구사항'!$C$2:$C$67,$A22,'요구사항'!$F$2:$F$67,C$16)</f>
        <v>2</v>
      </c>
      <c r="D22" s="22">
        <f>COUNTIFS('요구사항'!$C$2:$C$67,$A22,'요구사항'!$F$2:$F$67,D$16)</f>
        <v>0</v>
      </c>
      <c r="E22" s="22">
        <f>COUNTIFS('요구사항'!$C$2:$C$67,$A22,'요구사항'!$F$2:$F$67,E$16)</f>
        <v>0</v>
      </c>
      <c r="F22" s="22">
        <f>COUNTIFS('요구사항'!$C$2:$C$67,$A22,'요구사항'!$F$2:$F$67,F$16)</f>
        <v>0</v>
      </c>
      <c r="G22" s="23">
        <f t="shared" si="1"/>
        <v>17</v>
      </c>
      <c r="H22" s="4"/>
      <c r="I22" s="4"/>
    </row>
    <row r="23" ht="25.5" customHeight="1">
      <c r="A23" s="22" t="s">
        <v>789</v>
      </c>
      <c r="B23" s="22">
        <f>COUNTIFS('요구사항'!$C$2:$C$67,$A23,'요구사항'!$F$2:$F$67,B$16)</f>
        <v>4</v>
      </c>
      <c r="C23" s="22">
        <f>COUNTIFS('요구사항'!$C$2:$C$67,$A23,'요구사항'!$F$2:$F$67,C$16)</f>
        <v>0</v>
      </c>
      <c r="D23" s="22">
        <f>COUNTIFS('요구사항'!$C$2:$C$67,$A23,'요구사항'!$F$2:$F$67,D$16)</f>
        <v>1</v>
      </c>
      <c r="E23" s="22">
        <f>COUNTIFS('요구사항'!$C$2:$C$67,$A23,'요구사항'!$F$2:$F$67,E$16)</f>
        <v>0</v>
      </c>
      <c r="F23" s="22">
        <f>COUNTIFS('요구사항'!$C$2:$C$67,$A23,'요구사항'!$F$2:$F$67,F$16)</f>
        <v>0</v>
      </c>
      <c r="G23" s="23">
        <f t="shared" si="1"/>
        <v>5</v>
      </c>
      <c r="H23" s="4"/>
      <c r="I23" s="4"/>
    </row>
    <row r="24" ht="25.5" customHeight="1">
      <c r="A24" s="25" t="s">
        <v>361</v>
      </c>
      <c r="B24" s="25">
        <f t="shared" ref="B24:G24" si="2">SUM(B17:B23)</f>
        <v>52</v>
      </c>
      <c r="C24" s="25">
        <f t="shared" si="2"/>
        <v>11</v>
      </c>
      <c r="D24" s="25">
        <f t="shared" si="2"/>
        <v>3</v>
      </c>
      <c r="E24" s="27">
        <f t="shared" si="2"/>
        <v>0</v>
      </c>
      <c r="F24" s="27">
        <f t="shared" si="2"/>
        <v>0</v>
      </c>
      <c r="G24" s="28">
        <f t="shared" si="2"/>
        <v>66</v>
      </c>
      <c r="H24" s="4"/>
      <c r="I24" s="4"/>
    </row>
    <row r="25" ht="13.5" customHeight="1">
      <c r="A25" s="12"/>
      <c r="B25" s="12"/>
      <c r="C25" s="12"/>
      <c r="D25" s="12"/>
      <c r="E25" s="12"/>
      <c r="F25" s="12"/>
      <c r="G25" s="12"/>
      <c r="H25" s="4"/>
      <c r="I25" s="4"/>
    </row>
    <row r="26" ht="27.75" customHeight="1">
      <c r="A26" s="29" t="s">
        <v>857</v>
      </c>
      <c r="H26" s="4"/>
      <c r="I26" s="4"/>
    </row>
    <row r="27" ht="43.5" customHeight="1">
      <c r="A27" s="30" t="s">
        <v>869</v>
      </c>
      <c r="H27" s="4"/>
      <c r="I27" s="4"/>
    </row>
    <row r="28" ht="51.0" customHeight="1">
      <c r="A28" s="30" t="s">
        <v>871</v>
      </c>
      <c r="H28" s="4"/>
      <c r="I28" s="4"/>
    </row>
    <row r="29" ht="43.5" customHeight="1">
      <c r="A29" s="30" t="s">
        <v>874</v>
      </c>
      <c r="H29" s="4"/>
      <c r="I29" s="4"/>
    </row>
    <row r="30" ht="43.5" customHeight="1">
      <c r="A30" s="30" t="s">
        <v>876</v>
      </c>
      <c r="H30" s="4"/>
      <c r="I30" s="4"/>
    </row>
    <row r="31" ht="27.75" customHeight="1">
      <c r="A31" s="29" t="s">
        <v>878</v>
      </c>
      <c r="H31" s="4"/>
      <c r="I31" s="4"/>
    </row>
    <row r="32" ht="51.0" customHeight="1">
      <c r="A32" s="30" t="s">
        <v>880</v>
      </c>
      <c r="H32" s="4"/>
      <c r="I32" s="4"/>
    </row>
    <row r="33" ht="51.0" customHeight="1">
      <c r="A33" s="30" t="s">
        <v>883</v>
      </c>
      <c r="H33" s="4"/>
      <c r="I33" s="4"/>
    </row>
    <row r="34" ht="43.5" customHeight="1">
      <c r="A34" s="30" t="s">
        <v>885</v>
      </c>
      <c r="H34" s="4"/>
      <c r="I34" s="4"/>
    </row>
    <row r="35" ht="43.5" customHeight="1">
      <c r="A35" s="30" t="s">
        <v>887</v>
      </c>
      <c r="H35" s="4"/>
      <c r="I35" s="4"/>
    </row>
    <row r="36" ht="43.5" customHeight="1">
      <c r="A36" s="30" t="s">
        <v>893</v>
      </c>
      <c r="H36" s="4"/>
      <c r="I36" s="4"/>
    </row>
    <row r="37" ht="15.75" customHeight="1">
      <c r="A37" s="4"/>
      <c r="B37" s="4"/>
      <c r="C37" s="4"/>
      <c r="D37" s="4"/>
      <c r="E37" s="4"/>
      <c r="F37" s="4"/>
      <c r="G37" s="4"/>
      <c r="H37" s="4"/>
      <c r="I37" s="4"/>
    </row>
    <row r="38" ht="15.75" customHeight="1">
      <c r="A38" s="4"/>
      <c r="B38" s="4"/>
      <c r="C38" s="4"/>
      <c r="D38" s="4"/>
      <c r="E38" s="4"/>
      <c r="F38" s="4"/>
      <c r="G38" s="4"/>
      <c r="H38" s="4"/>
      <c r="I38" s="4"/>
    </row>
    <row r="39" ht="15.75" customHeight="1">
      <c r="A39" s="4"/>
      <c r="B39" s="4"/>
      <c r="C39" s="4"/>
      <c r="D39" s="4"/>
      <c r="E39" s="4"/>
      <c r="F39" s="4"/>
      <c r="G39" s="4"/>
      <c r="H39" s="4"/>
      <c r="I39" s="4"/>
    </row>
    <row r="40" ht="15.75" customHeight="1">
      <c r="A40" s="4"/>
      <c r="B40" s="4"/>
      <c r="C40" s="4"/>
      <c r="D40" s="4"/>
      <c r="E40" s="4"/>
      <c r="F40" s="4"/>
      <c r="G40" s="4"/>
      <c r="H40" s="4"/>
      <c r="I40" s="4"/>
    </row>
    <row r="41" ht="15.75" customHeight="1">
      <c r="A41" s="4"/>
      <c r="B41" s="4"/>
      <c r="C41" s="4"/>
      <c r="D41" s="4"/>
      <c r="E41" s="4"/>
      <c r="F41" s="4"/>
      <c r="G41" s="4"/>
      <c r="H41" s="4"/>
      <c r="I41" s="4"/>
    </row>
    <row r="42" ht="15.75" customHeight="1">
      <c r="A42" s="4"/>
      <c r="B42" s="4"/>
      <c r="C42" s="4"/>
      <c r="D42" s="4"/>
      <c r="E42" s="4"/>
      <c r="F42" s="4"/>
      <c r="G42" s="4"/>
      <c r="H42" s="4"/>
      <c r="I42" s="4"/>
    </row>
    <row r="43" ht="15.75" customHeight="1">
      <c r="A43" s="4"/>
      <c r="B43" s="4"/>
      <c r="C43" s="4"/>
      <c r="D43" s="4"/>
      <c r="E43" s="4"/>
      <c r="F43" s="4"/>
      <c r="G43" s="4"/>
      <c r="H43" s="4"/>
      <c r="I43" s="4"/>
    </row>
    <row r="44" ht="15.75" customHeight="1">
      <c r="A44" s="4"/>
      <c r="B44" s="4"/>
      <c r="C44" s="4"/>
      <c r="D44" s="4"/>
      <c r="E44" s="4"/>
      <c r="F44" s="4"/>
      <c r="G44" s="4"/>
      <c r="H44" s="4"/>
      <c r="I44" s="4"/>
    </row>
    <row r="45" ht="15.75" customHeight="1">
      <c r="A45" s="4"/>
      <c r="B45" s="4"/>
      <c r="C45" s="4"/>
      <c r="D45" s="4"/>
      <c r="E45" s="4"/>
      <c r="F45" s="4"/>
      <c r="G45" s="4"/>
      <c r="H45" s="4"/>
      <c r="I45" s="4"/>
    </row>
    <row r="46" ht="15.75" customHeight="1">
      <c r="A46" s="4"/>
      <c r="B46" s="4"/>
      <c r="C46" s="4"/>
      <c r="D46" s="4"/>
      <c r="E46" s="4"/>
      <c r="F46" s="4"/>
      <c r="G46" s="4"/>
      <c r="H46" s="4"/>
      <c r="I46" s="4"/>
    </row>
    <row r="47" ht="15.75" customHeight="1">
      <c r="A47" s="4"/>
      <c r="B47" s="4"/>
      <c r="C47" s="4"/>
      <c r="D47" s="4"/>
      <c r="E47" s="4"/>
      <c r="F47" s="4"/>
      <c r="G47" s="4"/>
      <c r="H47" s="4"/>
      <c r="I47" s="4"/>
    </row>
    <row r="48" ht="15.75" customHeight="1">
      <c r="A48" s="4"/>
      <c r="B48" s="4"/>
      <c r="C48" s="4"/>
      <c r="D48" s="4"/>
      <c r="E48" s="4"/>
      <c r="F48" s="4"/>
      <c r="G48" s="4"/>
      <c r="H48" s="4"/>
      <c r="I48" s="4"/>
    </row>
    <row r="49" ht="15.75" customHeight="1">
      <c r="A49" s="4"/>
      <c r="B49" s="4"/>
      <c r="C49" s="4"/>
      <c r="D49" s="4"/>
      <c r="E49" s="4"/>
      <c r="F49" s="4"/>
      <c r="G49" s="4"/>
      <c r="H49" s="4"/>
      <c r="I49" s="4"/>
    </row>
    <row r="50" ht="15.75" customHeight="1">
      <c r="A50" s="4"/>
      <c r="B50" s="4"/>
      <c r="C50" s="4"/>
      <c r="D50" s="4"/>
      <c r="E50" s="4"/>
      <c r="F50" s="4"/>
      <c r="G50" s="4"/>
      <c r="H50" s="4"/>
      <c r="I50" s="4"/>
    </row>
    <row r="51" ht="15.75" customHeight="1">
      <c r="A51" s="4"/>
      <c r="B51" s="4"/>
      <c r="C51" s="4"/>
      <c r="D51" s="4"/>
      <c r="E51" s="4"/>
      <c r="F51" s="4"/>
      <c r="G51" s="4"/>
      <c r="H51" s="4"/>
      <c r="I51" s="4"/>
    </row>
    <row r="52" ht="15.75" customHeight="1">
      <c r="A52" s="4"/>
      <c r="B52" s="4"/>
      <c r="C52" s="4"/>
      <c r="D52" s="4"/>
      <c r="E52" s="4"/>
      <c r="F52" s="4"/>
      <c r="G52" s="4"/>
      <c r="H52" s="4"/>
      <c r="I52" s="4"/>
    </row>
    <row r="53" ht="15.75" customHeight="1">
      <c r="A53" s="4"/>
      <c r="B53" s="4"/>
      <c r="C53" s="4"/>
      <c r="D53" s="4"/>
      <c r="E53" s="4"/>
      <c r="F53" s="4"/>
      <c r="G53" s="4"/>
      <c r="H53" s="4"/>
      <c r="I53" s="4"/>
    </row>
    <row r="54" ht="15.75" customHeight="1">
      <c r="A54" s="4"/>
      <c r="B54" s="4"/>
      <c r="C54" s="4"/>
      <c r="D54" s="4"/>
      <c r="E54" s="4"/>
      <c r="F54" s="4"/>
      <c r="G54" s="4"/>
      <c r="H54" s="4"/>
      <c r="I54" s="4"/>
    </row>
    <row r="55" ht="15.75" customHeight="1">
      <c r="A55" s="4"/>
      <c r="B55" s="4"/>
      <c r="C55" s="4"/>
      <c r="D55" s="4"/>
      <c r="E55" s="4"/>
      <c r="F55" s="4"/>
      <c r="G55" s="4"/>
      <c r="H55" s="4"/>
      <c r="I55" s="4"/>
    </row>
    <row r="56" ht="15.75" customHeight="1">
      <c r="A56" s="4"/>
      <c r="B56" s="4"/>
      <c r="C56" s="4"/>
      <c r="D56" s="4"/>
      <c r="E56" s="4"/>
      <c r="F56" s="4"/>
      <c r="G56" s="4"/>
      <c r="H56" s="4"/>
      <c r="I56" s="4"/>
    </row>
    <row r="57" ht="15.75" customHeight="1">
      <c r="A57" s="4"/>
      <c r="B57" s="4"/>
      <c r="C57" s="4"/>
      <c r="D57" s="4"/>
      <c r="E57" s="4"/>
      <c r="F57" s="4"/>
      <c r="G57" s="4"/>
      <c r="H57" s="4"/>
      <c r="I57" s="4"/>
    </row>
    <row r="58" ht="15.75" customHeight="1">
      <c r="A58" s="4"/>
      <c r="B58" s="4"/>
      <c r="C58" s="4"/>
      <c r="D58" s="4"/>
      <c r="E58" s="4"/>
      <c r="F58" s="4"/>
      <c r="G58" s="4"/>
      <c r="H58" s="4"/>
      <c r="I58" s="4"/>
    </row>
    <row r="59" ht="15.75" customHeight="1">
      <c r="A59" s="4"/>
      <c r="B59" s="4"/>
      <c r="C59" s="4"/>
      <c r="D59" s="4"/>
      <c r="E59" s="4"/>
      <c r="F59" s="4"/>
      <c r="G59" s="4"/>
      <c r="H59" s="4"/>
      <c r="I59" s="4"/>
    </row>
    <row r="60" ht="15.75" customHeight="1">
      <c r="A60" s="4"/>
      <c r="B60" s="4"/>
      <c r="C60" s="4"/>
      <c r="D60" s="4"/>
      <c r="E60" s="4"/>
      <c r="F60" s="4"/>
      <c r="G60" s="4"/>
      <c r="H60" s="4"/>
      <c r="I60" s="4"/>
    </row>
    <row r="61" ht="15.75" customHeight="1">
      <c r="A61" s="4"/>
      <c r="B61" s="4"/>
      <c r="C61" s="4"/>
      <c r="D61" s="4"/>
      <c r="E61" s="4"/>
      <c r="F61" s="4"/>
      <c r="G61" s="4"/>
      <c r="H61" s="4"/>
      <c r="I61" s="4"/>
    </row>
    <row r="62" ht="15.75" customHeight="1">
      <c r="A62" s="4"/>
      <c r="B62" s="4"/>
      <c r="C62" s="4"/>
      <c r="D62" s="4"/>
      <c r="E62" s="4"/>
      <c r="F62" s="4"/>
      <c r="G62" s="4"/>
      <c r="H62" s="4"/>
      <c r="I62" s="4"/>
    </row>
    <row r="63" ht="15.75" customHeight="1">
      <c r="A63" s="4"/>
      <c r="B63" s="4"/>
      <c r="C63" s="4"/>
      <c r="D63" s="4"/>
      <c r="E63" s="4"/>
      <c r="F63" s="4"/>
      <c r="G63" s="4"/>
      <c r="H63" s="4"/>
      <c r="I63" s="4"/>
    </row>
    <row r="64" ht="15.75" customHeight="1">
      <c r="A64" s="4"/>
      <c r="B64" s="4"/>
      <c r="C64" s="4"/>
      <c r="D64" s="4"/>
      <c r="E64" s="4"/>
      <c r="F64" s="4"/>
      <c r="G64" s="4"/>
      <c r="H64" s="4"/>
      <c r="I64" s="4"/>
    </row>
    <row r="65" ht="15.75" customHeight="1">
      <c r="A65" s="4"/>
      <c r="B65" s="4"/>
      <c r="C65" s="4"/>
      <c r="D65" s="4"/>
      <c r="E65" s="4"/>
      <c r="F65" s="4"/>
      <c r="G65" s="4"/>
      <c r="H65" s="4"/>
      <c r="I65" s="4"/>
    </row>
    <row r="66" ht="15.75" customHeight="1">
      <c r="A66" s="4"/>
      <c r="B66" s="4"/>
      <c r="C66" s="4"/>
      <c r="D66" s="4"/>
      <c r="E66" s="4"/>
      <c r="F66" s="4"/>
      <c r="G66" s="4"/>
      <c r="H66" s="4"/>
      <c r="I66" s="4"/>
    </row>
    <row r="67" ht="15.75" customHeight="1">
      <c r="A67" s="4"/>
      <c r="B67" s="4"/>
      <c r="C67" s="4"/>
      <c r="D67" s="4"/>
      <c r="E67" s="4"/>
      <c r="F67" s="4"/>
      <c r="G67" s="4"/>
      <c r="H67" s="4"/>
      <c r="I67" s="4"/>
    </row>
    <row r="68" ht="15.75" customHeight="1">
      <c r="A68" s="4"/>
      <c r="B68" s="4"/>
      <c r="C68" s="4"/>
      <c r="D68" s="4"/>
      <c r="E68" s="4"/>
      <c r="F68" s="4"/>
      <c r="G68" s="4"/>
      <c r="H68" s="4"/>
      <c r="I68" s="4"/>
    </row>
    <row r="69" ht="15.75" customHeight="1">
      <c r="A69" s="4"/>
      <c r="B69" s="4"/>
      <c r="C69" s="4"/>
      <c r="D69" s="4"/>
      <c r="E69" s="4"/>
      <c r="F69" s="4"/>
      <c r="G69" s="4"/>
      <c r="H69" s="4"/>
      <c r="I69" s="4"/>
    </row>
    <row r="70" ht="15.75" customHeight="1">
      <c r="A70" s="4"/>
      <c r="B70" s="4"/>
      <c r="C70" s="4"/>
      <c r="D70" s="4"/>
      <c r="E70" s="4"/>
      <c r="F70" s="4"/>
      <c r="G70" s="4"/>
      <c r="H70" s="4"/>
      <c r="I70" s="4"/>
    </row>
    <row r="71" ht="15.75" customHeight="1">
      <c r="A71" s="4"/>
      <c r="B71" s="4"/>
      <c r="C71" s="4"/>
      <c r="D71" s="4"/>
      <c r="E71" s="4"/>
      <c r="F71" s="4"/>
      <c r="G71" s="4"/>
      <c r="H71" s="4"/>
      <c r="I71" s="4"/>
    </row>
    <row r="72" ht="15.75" customHeight="1">
      <c r="A72" s="4"/>
      <c r="B72" s="4"/>
      <c r="C72" s="4"/>
      <c r="D72" s="4"/>
      <c r="E72" s="4"/>
      <c r="F72" s="4"/>
      <c r="G72" s="4"/>
      <c r="H72" s="4"/>
      <c r="I72" s="4"/>
    </row>
    <row r="73" ht="15.75" customHeight="1">
      <c r="A73" s="4"/>
      <c r="B73" s="4"/>
      <c r="C73" s="4"/>
      <c r="D73" s="4"/>
      <c r="E73" s="4"/>
      <c r="F73" s="4"/>
      <c r="G73" s="4"/>
      <c r="H73" s="4"/>
      <c r="I73" s="4"/>
    </row>
    <row r="74" ht="15.75" customHeight="1">
      <c r="A74" s="4"/>
      <c r="B74" s="4"/>
      <c r="C74" s="4"/>
      <c r="D74" s="4"/>
      <c r="E74" s="4"/>
      <c r="F74" s="4"/>
      <c r="G74" s="4"/>
      <c r="H74" s="4"/>
      <c r="I74" s="4"/>
    </row>
    <row r="75" ht="15.75" customHeight="1">
      <c r="A75" s="4"/>
      <c r="B75" s="4"/>
      <c r="C75" s="4"/>
      <c r="D75" s="4"/>
      <c r="E75" s="4"/>
      <c r="F75" s="4"/>
      <c r="G75" s="4"/>
      <c r="H75" s="4"/>
      <c r="I75" s="4"/>
    </row>
    <row r="76" ht="15.75" customHeight="1">
      <c r="A76" s="4"/>
      <c r="B76" s="4"/>
      <c r="C76" s="4"/>
      <c r="D76" s="4"/>
      <c r="E76" s="4"/>
      <c r="F76" s="4"/>
      <c r="G76" s="4"/>
      <c r="H76" s="4"/>
      <c r="I76" s="4"/>
    </row>
    <row r="77" ht="15.75" customHeight="1">
      <c r="A77" s="4"/>
      <c r="B77" s="4"/>
      <c r="C77" s="4"/>
      <c r="D77" s="4"/>
      <c r="E77" s="4"/>
      <c r="F77" s="4"/>
      <c r="G77" s="4"/>
      <c r="H77" s="4"/>
      <c r="I77" s="4"/>
    </row>
    <row r="78" ht="15.75" customHeight="1">
      <c r="A78" s="4"/>
      <c r="B78" s="4"/>
      <c r="C78" s="4"/>
      <c r="D78" s="4"/>
      <c r="E78" s="4"/>
      <c r="F78" s="4"/>
      <c r="G78" s="4"/>
      <c r="H78" s="4"/>
      <c r="I78" s="4"/>
    </row>
    <row r="79" ht="15.75" customHeight="1">
      <c r="A79" s="4"/>
      <c r="B79" s="4"/>
      <c r="C79" s="4"/>
      <c r="D79" s="4"/>
      <c r="E79" s="4"/>
      <c r="F79" s="4"/>
      <c r="G79" s="4"/>
      <c r="H79" s="4"/>
      <c r="I79" s="4"/>
    </row>
    <row r="80" ht="15.75" customHeight="1">
      <c r="A80" s="4"/>
      <c r="B80" s="4"/>
      <c r="C80" s="4"/>
      <c r="D80" s="4"/>
      <c r="E80" s="4"/>
      <c r="F80" s="4"/>
      <c r="G80" s="4"/>
      <c r="H80" s="4"/>
      <c r="I80" s="4"/>
    </row>
    <row r="81" ht="15.75" customHeight="1">
      <c r="A81" s="4"/>
      <c r="B81" s="4"/>
      <c r="C81" s="4"/>
      <c r="D81" s="4"/>
      <c r="E81" s="4"/>
      <c r="F81" s="4"/>
      <c r="G81" s="4"/>
      <c r="H81" s="4"/>
      <c r="I81" s="4"/>
    </row>
    <row r="82" ht="15.75" customHeight="1">
      <c r="A82" s="4"/>
      <c r="B82" s="4"/>
      <c r="C82" s="4"/>
      <c r="D82" s="4"/>
      <c r="E82" s="4"/>
      <c r="F82" s="4"/>
      <c r="G82" s="4"/>
      <c r="H82" s="4"/>
      <c r="I82" s="4"/>
    </row>
    <row r="83" ht="15.75" customHeight="1">
      <c r="A83" s="4"/>
      <c r="B83" s="4"/>
      <c r="C83" s="4"/>
      <c r="D83" s="4"/>
      <c r="E83" s="4"/>
      <c r="F83" s="4"/>
      <c r="G83" s="4"/>
      <c r="H83" s="4"/>
      <c r="I83" s="4"/>
    </row>
    <row r="84" ht="15.75" customHeight="1">
      <c r="A84" s="4"/>
      <c r="B84" s="4"/>
      <c r="C84" s="4"/>
      <c r="D84" s="4"/>
      <c r="E84" s="4"/>
      <c r="F84" s="4"/>
      <c r="G84" s="4"/>
      <c r="H84" s="4"/>
      <c r="I84" s="4"/>
    </row>
    <row r="85" ht="15.75" customHeight="1">
      <c r="A85" s="4"/>
      <c r="B85" s="4"/>
      <c r="C85" s="4"/>
      <c r="D85" s="4"/>
      <c r="E85" s="4"/>
      <c r="F85" s="4"/>
      <c r="G85" s="4"/>
      <c r="H85" s="4"/>
      <c r="I85" s="4"/>
    </row>
    <row r="86" ht="15.75" customHeight="1">
      <c r="A86" s="4"/>
      <c r="B86" s="4"/>
      <c r="C86" s="4"/>
      <c r="D86" s="4"/>
      <c r="E86" s="4"/>
      <c r="F86" s="4"/>
      <c r="G86" s="4"/>
      <c r="H86" s="4"/>
      <c r="I86" s="4"/>
    </row>
    <row r="87" ht="15.75" customHeight="1">
      <c r="A87" s="4"/>
      <c r="B87" s="4"/>
      <c r="C87" s="4"/>
      <c r="D87" s="4"/>
      <c r="E87" s="4"/>
      <c r="F87" s="4"/>
      <c r="G87" s="4"/>
      <c r="H87" s="4"/>
      <c r="I87" s="4"/>
    </row>
    <row r="88" ht="15.75" customHeight="1">
      <c r="A88" s="4"/>
      <c r="B88" s="4"/>
      <c r="C88" s="4"/>
      <c r="D88" s="4"/>
      <c r="E88" s="4"/>
      <c r="F88" s="4"/>
      <c r="G88" s="4"/>
      <c r="H88" s="4"/>
      <c r="I88" s="4"/>
    </row>
    <row r="89" ht="15.75" customHeight="1">
      <c r="A89" s="4"/>
      <c r="B89" s="4"/>
      <c r="C89" s="4"/>
      <c r="D89" s="4"/>
      <c r="E89" s="4"/>
      <c r="F89" s="4"/>
      <c r="G89" s="4"/>
      <c r="H89" s="4"/>
      <c r="I89" s="4"/>
    </row>
    <row r="90" ht="15.75" customHeight="1">
      <c r="A90" s="4"/>
      <c r="B90" s="4"/>
      <c r="C90" s="4"/>
      <c r="D90" s="4"/>
      <c r="E90" s="4"/>
      <c r="F90" s="4"/>
      <c r="G90" s="4"/>
      <c r="H90" s="4"/>
      <c r="I90" s="4"/>
    </row>
    <row r="91" ht="15.75" customHeight="1">
      <c r="A91" s="4"/>
      <c r="B91" s="4"/>
      <c r="C91" s="4"/>
      <c r="D91" s="4"/>
      <c r="E91" s="4"/>
      <c r="F91" s="4"/>
      <c r="G91" s="4"/>
      <c r="H91" s="4"/>
      <c r="I91" s="4"/>
    </row>
    <row r="92" ht="15.75" customHeight="1">
      <c r="A92" s="4"/>
      <c r="B92" s="4"/>
      <c r="C92" s="4"/>
      <c r="D92" s="4"/>
      <c r="E92" s="4"/>
      <c r="F92" s="4"/>
      <c r="G92" s="4"/>
      <c r="H92" s="4"/>
      <c r="I92" s="4"/>
    </row>
    <row r="93" ht="15.75" customHeight="1">
      <c r="A93" s="4"/>
      <c r="B93" s="4"/>
      <c r="C93" s="4"/>
      <c r="D93" s="4"/>
      <c r="E93" s="4"/>
      <c r="F93" s="4"/>
      <c r="G93" s="4"/>
      <c r="H93" s="4"/>
      <c r="I93" s="4"/>
    </row>
    <row r="94" ht="15.75" customHeight="1">
      <c r="A94" s="4"/>
      <c r="B94" s="4"/>
      <c r="C94" s="4"/>
      <c r="D94" s="4"/>
      <c r="E94" s="4"/>
      <c r="F94" s="4"/>
      <c r="G94" s="4"/>
      <c r="H94" s="4"/>
      <c r="I94" s="4"/>
    </row>
    <row r="95" ht="15.75" customHeight="1">
      <c r="A95" s="4"/>
      <c r="B95" s="4"/>
      <c r="C95" s="4"/>
      <c r="D95" s="4"/>
      <c r="E95" s="4"/>
      <c r="F95" s="4"/>
      <c r="G95" s="4"/>
      <c r="H95" s="4"/>
      <c r="I95" s="4"/>
    </row>
    <row r="96" ht="15.75" customHeight="1">
      <c r="A96" s="4"/>
      <c r="B96" s="4"/>
      <c r="C96" s="4"/>
      <c r="D96" s="4"/>
      <c r="E96" s="4"/>
      <c r="F96" s="4"/>
      <c r="G96" s="4"/>
      <c r="H96" s="4"/>
      <c r="I96" s="4"/>
    </row>
    <row r="97" ht="15.75" customHeight="1">
      <c r="A97" s="4"/>
      <c r="B97" s="4"/>
      <c r="C97" s="4"/>
      <c r="D97" s="4"/>
      <c r="E97" s="4"/>
      <c r="F97" s="4"/>
      <c r="G97" s="4"/>
      <c r="H97" s="4"/>
      <c r="I97" s="4"/>
    </row>
    <row r="98" ht="15.75" customHeight="1">
      <c r="A98" s="4"/>
      <c r="B98" s="4"/>
      <c r="C98" s="4"/>
      <c r="D98" s="4"/>
      <c r="E98" s="4"/>
      <c r="F98" s="4"/>
      <c r="G98" s="4"/>
      <c r="H98" s="4"/>
      <c r="I98" s="4"/>
    </row>
    <row r="99" ht="15.75" customHeight="1">
      <c r="A99" s="4"/>
      <c r="B99" s="4"/>
      <c r="C99" s="4"/>
      <c r="D99" s="4"/>
      <c r="E99" s="4"/>
      <c r="F99" s="4"/>
      <c r="G99" s="4"/>
      <c r="H99" s="4"/>
      <c r="I99" s="4"/>
    </row>
    <row r="100" ht="15.75" customHeight="1">
      <c r="A100" s="4"/>
      <c r="B100" s="4"/>
      <c r="C100" s="4"/>
      <c r="D100" s="4"/>
      <c r="E100" s="4"/>
      <c r="F100" s="4"/>
      <c r="G100" s="4"/>
      <c r="H100" s="4"/>
      <c r="I100" s="4"/>
    </row>
    <row r="101" ht="15.75" customHeight="1">
      <c r="A101" s="4"/>
      <c r="B101" s="4"/>
      <c r="C101" s="4"/>
      <c r="D101" s="4"/>
      <c r="E101" s="4"/>
      <c r="F101" s="4"/>
      <c r="G101" s="4"/>
      <c r="H101" s="4"/>
      <c r="I101" s="4"/>
    </row>
    <row r="102" ht="15.75" customHeight="1">
      <c r="A102" s="4"/>
      <c r="B102" s="4"/>
      <c r="C102" s="4"/>
      <c r="D102" s="4"/>
      <c r="E102" s="4"/>
      <c r="F102" s="4"/>
      <c r="G102" s="4"/>
      <c r="H102" s="4"/>
      <c r="I102" s="4"/>
    </row>
    <row r="103" ht="15.75" customHeight="1">
      <c r="A103" s="4"/>
      <c r="B103" s="4"/>
      <c r="C103" s="4"/>
      <c r="D103" s="4"/>
      <c r="E103" s="4"/>
      <c r="F103" s="4"/>
      <c r="G103" s="4"/>
      <c r="H103" s="4"/>
      <c r="I103" s="4"/>
    </row>
    <row r="104" ht="15.75" customHeight="1">
      <c r="A104" s="4"/>
      <c r="B104" s="4"/>
      <c r="C104" s="4"/>
      <c r="D104" s="4"/>
      <c r="E104" s="4"/>
      <c r="F104" s="4"/>
      <c r="G104" s="4"/>
      <c r="H104" s="4"/>
      <c r="I104" s="4"/>
    </row>
    <row r="105" ht="15.75" customHeight="1">
      <c r="A105" s="4"/>
      <c r="B105" s="4"/>
      <c r="C105" s="4"/>
      <c r="D105" s="4"/>
      <c r="E105" s="4"/>
      <c r="F105" s="4"/>
      <c r="G105" s="4"/>
      <c r="H105" s="4"/>
      <c r="I105" s="4"/>
    </row>
    <row r="106" ht="15.75" customHeight="1">
      <c r="A106" s="4"/>
      <c r="B106" s="4"/>
      <c r="C106" s="4"/>
      <c r="D106" s="4"/>
      <c r="E106" s="4"/>
      <c r="F106" s="4"/>
      <c r="G106" s="4"/>
      <c r="H106" s="4"/>
      <c r="I106" s="4"/>
    </row>
    <row r="107" ht="15.75" customHeight="1">
      <c r="A107" s="4"/>
      <c r="B107" s="4"/>
      <c r="C107" s="4"/>
      <c r="D107" s="4"/>
      <c r="E107" s="4"/>
      <c r="F107" s="4"/>
      <c r="G107" s="4"/>
      <c r="H107" s="4"/>
      <c r="I107" s="4"/>
    </row>
    <row r="108" ht="15.75" customHeight="1">
      <c r="A108" s="4"/>
      <c r="B108" s="4"/>
      <c r="C108" s="4"/>
      <c r="D108" s="4"/>
      <c r="E108" s="4"/>
      <c r="F108" s="4"/>
      <c r="G108" s="4"/>
      <c r="H108" s="4"/>
      <c r="I108" s="4"/>
    </row>
    <row r="109" ht="15.75" customHeight="1">
      <c r="A109" s="4"/>
      <c r="B109" s="4"/>
      <c r="C109" s="4"/>
      <c r="D109" s="4"/>
      <c r="E109" s="4"/>
      <c r="F109" s="4"/>
      <c r="G109" s="4"/>
      <c r="H109" s="4"/>
      <c r="I109" s="4"/>
    </row>
    <row r="110" ht="15.75" customHeight="1">
      <c r="A110" s="4"/>
      <c r="B110" s="4"/>
      <c r="C110" s="4"/>
      <c r="D110" s="4"/>
      <c r="E110" s="4"/>
      <c r="F110" s="4"/>
      <c r="G110" s="4"/>
      <c r="H110" s="4"/>
      <c r="I110" s="4"/>
    </row>
    <row r="111" ht="15.75" customHeight="1">
      <c r="A111" s="4"/>
      <c r="B111" s="4"/>
      <c r="C111" s="4"/>
      <c r="D111" s="4"/>
      <c r="E111" s="4"/>
      <c r="F111" s="4"/>
      <c r="G111" s="4"/>
      <c r="H111" s="4"/>
      <c r="I111" s="4"/>
    </row>
    <row r="112" ht="15.75" customHeight="1">
      <c r="A112" s="4"/>
      <c r="B112" s="4"/>
      <c r="C112" s="4"/>
      <c r="D112" s="4"/>
      <c r="E112" s="4"/>
      <c r="F112" s="4"/>
      <c r="G112" s="4"/>
      <c r="H112" s="4"/>
      <c r="I112" s="4"/>
    </row>
    <row r="113" ht="15.75" customHeight="1">
      <c r="A113" s="4"/>
      <c r="B113" s="4"/>
      <c r="C113" s="4"/>
      <c r="D113" s="4"/>
      <c r="E113" s="4"/>
      <c r="F113" s="4"/>
      <c r="G113" s="4"/>
      <c r="H113" s="4"/>
      <c r="I113" s="4"/>
    </row>
    <row r="114" ht="15.75" customHeight="1">
      <c r="A114" s="4"/>
      <c r="B114" s="4"/>
      <c r="C114" s="4"/>
      <c r="D114" s="4"/>
      <c r="E114" s="4"/>
      <c r="F114" s="4"/>
      <c r="G114" s="4"/>
      <c r="H114" s="4"/>
      <c r="I114" s="4"/>
    </row>
    <row r="115" ht="15.75" customHeight="1">
      <c r="A115" s="4"/>
      <c r="B115" s="4"/>
      <c r="C115" s="4"/>
      <c r="D115" s="4"/>
      <c r="E115" s="4"/>
      <c r="F115" s="4"/>
      <c r="G115" s="4"/>
      <c r="H115" s="4"/>
      <c r="I115" s="4"/>
    </row>
    <row r="116" ht="15.75" customHeight="1">
      <c r="A116" s="4"/>
      <c r="B116" s="4"/>
      <c r="C116" s="4"/>
      <c r="D116" s="4"/>
      <c r="E116" s="4"/>
      <c r="F116" s="4"/>
      <c r="G116" s="4"/>
      <c r="H116" s="4"/>
      <c r="I116" s="4"/>
    </row>
    <row r="117" ht="15.75" customHeight="1">
      <c r="A117" s="4"/>
      <c r="B117" s="4"/>
      <c r="C117" s="4"/>
      <c r="D117" s="4"/>
      <c r="E117" s="4"/>
      <c r="F117" s="4"/>
      <c r="G117" s="4"/>
      <c r="H117" s="4"/>
      <c r="I117" s="4"/>
    </row>
    <row r="118" ht="15.75" customHeight="1">
      <c r="A118" s="4"/>
      <c r="B118" s="4"/>
      <c r="C118" s="4"/>
      <c r="D118" s="4"/>
      <c r="E118" s="4"/>
      <c r="F118" s="4"/>
      <c r="G118" s="4"/>
      <c r="H118" s="4"/>
      <c r="I118" s="4"/>
    </row>
    <row r="119" ht="15.75" customHeight="1">
      <c r="A119" s="4"/>
      <c r="B119" s="4"/>
      <c r="C119" s="4"/>
      <c r="D119" s="4"/>
      <c r="E119" s="4"/>
      <c r="F119" s="4"/>
      <c r="G119" s="4"/>
      <c r="H119" s="4"/>
      <c r="I119" s="4"/>
    </row>
    <row r="120" ht="15.75" customHeight="1">
      <c r="A120" s="4"/>
      <c r="B120" s="4"/>
      <c r="C120" s="4"/>
      <c r="D120" s="4"/>
      <c r="E120" s="4"/>
      <c r="F120" s="4"/>
      <c r="G120" s="4"/>
      <c r="H120" s="4"/>
      <c r="I120" s="4"/>
    </row>
    <row r="121" ht="15.75" customHeight="1">
      <c r="A121" s="4"/>
      <c r="B121" s="4"/>
      <c r="C121" s="4"/>
      <c r="D121" s="4"/>
      <c r="E121" s="4"/>
      <c r="F121" s="4"/>
      <c r="G121" s="4"/>
      <c r="H121" s="4"/>
      <c r="I121" s="4"/>
    </row>
    <row r="122" ht="15.75" customHeight="1">
      <c r="A122" s="4"/>
      <c r="B122" s="4"/>
      <c r="C122" s="4"/>
      <c r="D122" s="4"/>
      <c r="E122" s="4"/>
      <c r="F122" s="4"/>
      <c r="G122" s="4"/>
      <c r="H122" s="4"/>
      <c r="I122" s="4"/>
    </row>
    <row r="123" ht="15.75" customHeight="1">
      <c r="A123" s="4"/>
      <c r="B123" s="4"/>
      <c r="C123" s="4"/>
      <c r="D123" s="4"/>
      <c r="E123" s="4"/>
      <c r="F123" s="4"/>
      <c r="G123" s="4"/>
      <c r="H123" s="4"/>
      <c r="I123" s="4"/>
    </row>
    <row r="124" ht="15.75" customHeight="1">
      <c r="A124" s="4"/>
      <c r="B124" s="4"/>
      <c r="C124" s="4"/>
      <c r="D124" s="4"/>
      <c r="E124" s="4"/>
      <c r="F124" s="4"/>
      <c r="G124" s="4"/>
      <c r="H124" s="4"/>
      <c r="I124" s="4"/>
    </row>
    <row r="125" ht="15.75" customHeight="1">
      <c r="A125" s="4"/>
      <c r="B125" s="4"/>
      <c r="C125" s="4"/>
      <c r="D125" s="4"/>
      <c r="E125" s="4"/>
      <c r="F125" s="4"/>
      <c r="G125" s="4"/>
      <c r="H125" s="4"/>
      <c r="I125" s="4"/>
    </row>
    <row r="126" ht="15.75" customHeight="1">
      <c r="A126" s="4"/>
      <c r="B126" s="4"/>
      <c r="C126" s="4"/>
      <c r="D126" s="4"/>
      <c r="E126" s="4"/>
      <c r="F126" s="4"/>
      <c r="G126" s="4"/>
      <c r="H126" s="4"/>
      <c r="I126" s="4"/>
    </row>
    <row r="127" ht="15.75" customHeight="1">
      <c r="A127" s="4"/>
      <c r="B127" s="4"/>
      <c r="C127" s="4"/>
      <c r="D127" s="4"/>
      <c r="E127" s="4"/>
      <c r="F127" s="4"/>
      <c r="G127" s="4"/>
      <c r="H127" s="4"/>
      <c r="I127" s="4"/>
    </row>
    <row r="128" ht="15.75" customHeight="1">
      <c r="A128" s="4"/>
      <c r="B128" s="4"/>
      <c r="C128" s="4"/>
      <c r="D128" s="4"/>
      <c r="E128" s="4"/>
      <c r="F128" s="4"/>
      <c r="G128" s="4"/>
      <c r="H128" s="4"/>
      <c r="I128" s="4"/>
    </row>
    <row r="129" ht="15.75" customHeight="1">
      <c r="A129" s="4"/>
      <c r="B129" s="4"/>
      <c r="C129" s="4"/>
      <c r="D129" s="4"/>
      <c r="E129" s="4"/>
      <c r="F129" s="4"/>
      <c r="G129" s="4"/>
      <c r="H129" s="4"/>
      <c r="I129" s="4"/>
    </row>
    <row r="130" ht="15.75" customHeight="1">
      <c r="A130" s="4"/>
      <c r="B130" s="4"/>
      <c r="C130" s="4"/>
      <c r="D130" s="4"/>
      <c r="E130" s="4"/>
      <c r="F130" s="4"/>
      <c r="G130" s="4"/>
      <c r="H130" s="4"/>
      <c r="I130" s="4"/>
    </row>
    <row r="131" ht="15.75" customHeight="1">
      <c r="A131" s="4"/>
      <c r="B131" s="4"/>
      <c r="C131" s="4"/>
      <c r="D131" s="4"/>
      <c r="E131" s="4"/>
      <c r="F131" s="4"/>
      <c r="G131" s="4"/>
      <c r="H131" s="4"/>
      <c r="I131" s="4"/>
    </row>
    <row r="132" ht="15.75" customHeight="1">
      <c r="A132" s="4"/>
      <c r="B132" s="4"/>
      <c r="C132" s="4"/>
      <c r="D132" s="4"/>
      <c r="E132" s="4"/>
      <c r="F132" s="4"/>
      <c r="G132" s="4"/>
      <c r="H132" s="4"/>
      <c r="I132" s="4"/>
    </row>
    <row r="133" ht="15.75" customHeight="1">
      <c r="A133" s="4"/>
      <c r="B133" s="4"/>
      <c r="C133" s="4"/>
      <c r="D133" s="4"/>
      <c r="E133" s="4"/>
      <c r="F133" s="4"/>
      <c r="G133" s="4"/>
      <c r="H133" s="4"/>
      <c r="I133" s="4"/>
    </row>
    <row r="134" ht="15.75" customHeight="1">
      <c r="A134" s="4"/>
      <c r="B134" s="4"/>
      <c r="C134" s="4"/>
      <c r="D134" s="4"/>
      <c r="E134" s="4"/>
      <c r="F134" s="4"/>
      <c r="G134" s="4"/>
      <c r="H134" s="4"/>
      <c r="I134" s="4"/>
    </row>
    <row r="135" ht="15.75" customHeight="1">
      <c r="A135" s="4"/>
      <c r="B135" s="4"/>
      <c r="C135" s="4"/>
      <c r="D135" s="4"/>
      <c r="E135" s="4"/>
      <c r="F135" s="4"/>
      <c r="G135" s="4"/>
      <c r="H135" s="4"/>
      <c r="I135" s="4"/>
    </row>
    <row r="136" ht="15.75" customHeight="1">
      <c r="A136" s="4"/>
      <c r="B136" s="4"/>
      <c r="C136" s="4"/>
      <c r="D136" s="4"/>
      <c r="E136" s="4"/>
      <c r="F136" s="4"/>
      <c r="G136" s="4"/>
      <c r="H136" s="4"/>
      <c r="I136" s="4"/>
    </row>
    <row r="137" ht="15.75" customHeight="1">
      <c r="A137" s="4"/>
      <c r="B137" s="4"/>
      <c r="C137" s="4"/>
      <c r="D137" s="4"/>
      <c r="E137" s="4"/>
      <c r="F137" s="4"/>
      <c r="G137" s="4"/>
      <c r="H137" s="4"/>
      <c r="I137" s="4"/>
    </row>
    <row r="138" ht="15.75" customHeight="1">
      <c r="A138" s="4"/>
      <c r="B138" s="4"/>
      <c r="C138" s="4"/>
      <c r="D138" s="4"/>
      <c r="E138" s="4"/>
      <c r="F138" s="4"/>
      <c r="G138" s="4"/>
      <c r="H138" s="4"/>
      <c r="I138" s="4"/>
    </row>
    <row r="139" ht="15.75" customHeight="1">
      <c r="A139" s="4"/>
      <c r="B139" s="4"/>
      <c r="C139" s="4"/>
      <c r="D139" s="4"/>
      <c r="E139" s="4"/>
      <c r="F139" s="4"/>
      <c r="G139" s="4"/>
      <c r="H139" s="4"/>
      <c r="I139" s="4"/>
    </row>
    <row r="140" ht="15.75" customHeight="1">
      <c r="A140" s="4"/>
      <c r="B140" s="4"/>
      <c r="C140" s="4"/>
      <c r="D140" s="4"/>
      <c r="E140" s="4"/>
      <c r="F140" s="4"/>
      <c r="G140" s="4"/>
      <c r="H140" s="4"/>
      <c r="I140" s="4"/>
    </row>
    <row r="141" ht="15.75" customHeight="1">
      <c r="A141" s="4"/>
      <c r="B141" s="4"/>
      <c r="C141" s="4"/>
      <c r="D141" s="4"/>
      <c r="E141" s="4"/>
      <c r="F141" s="4"/>
      <c r="G141" s="4"/>
      <c r="H141" s="4"/>
      <c r="I141" s="4"/>
    </row>
    <row r="142" ht="15.75" customHeight="1">
      <c r="A142" s="4"/>
      <c r="B142" s="4"/>
      <c r="C142" s="4"/>
      <c r="D142" s="4"/>
      <c r="E142" s="4"/>
      <c r="F142" s="4"/>
      <c r="G142" s="4"/>
      <c r="H142" s="4"/>
      <c r="I142" s="4"/>
    </row>
    <row r="143" ht="15.75" customHeight="1">
      <c r="A143" s="4"/>
      <c r="B143" s="4"/>
      <c r="C143" s="4"/>
      <c r="D143" s="4"/>
      <c r="E143" s="4"/>
      <c r="F143" s="4"/>
      <c r="G143" s="4"/>
      <c r="H143" s="4"/>
      <c r="I143" s="4"/>
    </row>
    <row r="144" ht="15.75" customHeight="1">
      <c r="A144" s="4"/>
      <c r="B144" s="4"/>
      <c r="C144" s="4"/>
      <c r="D144" s="4"/>
      <c r="E144" s="4"/>
      <c r="F144" s="4"/>
      <c r="G144" s="4"/>
      <c r="H144" s="4"/>
      <c r="I144" s="4"/>
    </row>
    <row r="145" ht="15.75" customHeight="1">
      <c r="A145" s="4"/>
      <c r="B145" s="4"/>
      <c r="C145" s="4"/>
      <c r="D145" s="4"/>
      <c r="E145" s="4"/>
      <c r="F145" s="4"/>
      <c r="G145" s="4"/>
      <c r="H145" s="4"/>
      <c r="I145" s="4"/>
    </row>
    <row r="146" ht="15.75" customHeight="1">
      <c r="A146" s="4"/>
      <c r="B146" s="4"/>
      <c r="C146" s="4"/>
      <c r="D146" s="4"/>
      <c r="E146" s="4"/>
      <c r="F146" s="4"/>
      <c r="G146" s="4"/>
      <c r="H146" s="4"/>
      <c r="I146" s="4"/>
    </row>
    <row r="147" ht="15.75" customHeight="1">
      <c r="A147" s="4"/>
      <c r="B147" s="4"/>
      <c r="C147" s="4"/>
      <c r="D147" s="4"/>
      <c r="E147" s="4"/>
      <c r="F147" s="4"/>
      <c r="G147" s="4"/>
      <c r="H147" s="4"/>
      <c r="I147" s="4"/>
    </row>
    <row r="148" ht="15.75" customHeight="1">
      <c r="A148" s="4"/>
      <c r="B148" s="4"/>
      <c r="C148" s="4"/>
      <c r="D148" s="4"/>
      <c r="E148" s="4"/>
      <c r="F148" s="4"/>
      <c r="G148" s="4"/>
      <c r="H148" s="4"/>
      <c r="I148" s="4"/>
    </row>
    <row r="149" ht="15.75" customHeight="1">
      <c r="A149" s="4"/>
      <c r="B149" s="4"/>
      <c r="C149" s="4"/>
      <c r="D149" s="4"/>
      <c r="E149" s="4"/>
      <c r="F149" s="4"/>
      <c r="G149" s="4"/>
      <c r="H149" s="4"/>
      <c r="I149" s="4"/>
    </row>
    <row r="150" ht="15.75" customHeight="1">
      <c r="A150" s="4"/>
      <c r="B150" s="4"/>
      <c r="C150" s="4"/>
      <c r="D150" s="4"/>
      <c r="E150" s="4"/>
      <c r="F150" s="4"/>
      <c r="G150" s="4"/>
      <c r="H150" s="4"/>
      <c r="I150" s="4"/>
    </row>
    <row r="151" ht="15.75" customHeight="1">
      <c r="A151" s="4"/>
      <c r="B151" s="4"/>
      <c r="C151" s="4"/>
      <c r="D151" s="4"/>
      <c r="E151" s="4"/>
      <c r="F151" s="4"/>
      <c r="G151" s="4"/>
      <c r="H151" s="4"/>
      <c r="I151" s="4"/>
    </row>
    <row r="152" ht="15.75" customHeight="1">
      <c r="A152" s="4"/>
      <c r="B152" s="4"/>
      <c r="C152" s="4"/>
      <c r="D152" s="4"/>
      <c r="E152" s="4"/>
      <c r="F152" s="4"/>
      <c r="G152" s="4"/>
      <c r="H152" s="4"/>
      <c r="I152" s="4"/>
    </row>
    <row r="153" ht="15.75" customHeight="1">
      <c r="A153" s="4"/>
      <c r="B153" s="4"/>
      <c r="C153" s="4"/>
      <c r="D153" s="4"/>
      <c r="E153" s="4"/>
      <c r="F153" s="4"/>
      <c r="G153" s="4"/>
      <c r="H153" s="4"/>
      <c r="I153" s="4"/>
    </row>
    <row r="154" ht="15.75" customHeight="1">
      <c r="A154" s="4"/>
      <c r="B154" s="4"/>
      <c r="C154" s="4"/>
      <c r="D154" s="4"/>
      <c r="E154" s="4"/>
      <c r="F154" s="4"/>
      <c r="G154" s="4"/>
      <c r="H154" s="4"/>
      <c r="I154" s="4"/>
    </row>
    <row r="155" ht="15.75" customHeight="1">
      <c r="A155" s="4"/>
      <c r="B155" s="4"/>
      <c r="C155" s="4"/>
      <c r="D155" s="4"/>
      <c r="E155" s="4"/>
      <c r="F155" s="4"/>
      <c r="G155" s="4"/>
      <c r="H155" s="4"/>
      <c r="I155" s="4"/>
    </row>
    <row r="156" ht="15.75" customHeight="1">
      <c r="A156" s="4"/>
      <c r="B156" s="4"/>
      <c r="C156" s="4"/>
      <c r="D156" s="4"/>
      <c r="E156" s="4"/>
      <c r="F156" s="4"/>
      <c r="G156" s="4"/>
      <c r="H156" s="4"/>
      <c r="I156" s="4"/>
    </row>
    <row r="157" ht="15.75" customHeight="1">
      <c r="A157" s="4"/>
      <c r="B157" s="4"/>
      <c r="C157" s="4"/>
      <c r="D157" s="4"/>
      <c r="E157" s="4"/>
      <c r="F157" s="4"/>
      <c r="G157" s="4"/>
      <c r="H157" s="4"/>
      <c r="I157" s="4"/>
    </row>
    <row r="158" ht="15.75" customHeight="1">
      <c r="A158" s="4"/>
      <c r="B158" s="4"/>
      <c r="C158" s="4"/>
      <c r="D158" s="4"/>
      <c r="E158" s="4"/>
      <c r="F158" s="4"/>
      <c r="G158" s="4"/>
      <c r="H158" s="4"/>
      <c r="I158" s="4"/>
    </row>
    <row r="159" ht="15.75" customHeight="1">
      <c r="A159" s="4"/>
      <c r="B159" s="4"/>
      <c r="C159" s="4"/>
      <c r="D159" s="4"/>
      <c r="E159" s="4"/>
      <c r="F159" s="4"/>
      <c r="G159" s="4"/>
      <c r="H159" s="4"/>
      <c r="I159" s="4"/>
    </row>
    <row r="160" ht="15.75" customHeight="1">
      <c r="A160" s="4"/>
      <c r="B160" s="4"/>
      <c r="C160" s="4"/>
      <c r="D160" s="4"/>
      <c r="E160" s="4"/>
      <c r="F160" s="4"/>
      <c r="G160" s="4"/>
      <c r="H160" s="4"/>
      <c r="I160" s="4"/>
    </row>
    <row r="161" ht="15.75" customHeight="1">
      <c r="A161" s="4"/>
      <c r="B161" s="4"/>
      <c r="C161" s="4"/>
      <c r="D161" s="4"/>
      <c r="E161" s="4"/>
      <c r="F161" s="4"/>
      <c r="G161" s="4"/>
      <c r="H161" s="4"/>
      <c r="I161" s="4"/>
    </row>
    <row r="162" ht="15.75" customHeight="1">
      <c r="A162" s="4"/>
      <c r="B162" s="4"/>
      <c r="C162" s="4"/>
      <c r="D162" s="4"/>
      <c r="E162" s="4"/>
      <c r="F162" s="4"/>
      <c r="G162" s="4"/>
      <c r="H162" s="4"/>
      <c r="I162" s="4"/>
    </row>
    <row r="163" ht="15.75" customHeight="1">
      <c r="A163" s="4"/>
      <c r="B163" s="4"/>
      <c r="C163" s="4"/>
      <c r="D163" s="4"/>
      <c r="E163" s="4"/>
      <c r="F163" s="4"/>
      <c r="G163" s="4"/>
      <c r="H163" s="4"/>
      <c r="I163" s="4"/>
    </row>
    <row r="164" ht="15.75" customHeight="1">
      <c r="A164" s="4"/>
      <c r="B164" s="4"/>
      <c r="C164" s="4"/>
      <c r="D164" s="4"/>
      <c r="E164" s="4"/>
      <c r="F164" s="4"/>
      <c r="G164" s="4"/>
      <c r="H164" s="4"/>
      <c r="I164" s="4"/>
    </row>
    <row r="165" ht="15.75" customHeight="1">
      <c r="A165" s="4"/>
      <c r="B165" s="4"/>
      <c r="C165" s="4"/>
      <c r="D165" s="4"/>
      <c r="E165" s="4"/>
      <c r="F165" s="4"/>
      <c r="G165" s="4"/>
      <c r="H165" s="4"/>
      <c r="I165" s="4"/>
    </row>
    <row r="166" ht="15.75" customHeight="1">
      <c r="A166" s="4"/>
      <c r="B166" s="4"/>
      <c r="C166" s="4"/>
      <c r="D166" s="4"/>
      <c r="E166" s="4"/>
      <c r="F166" s="4"/>
      <c r="G166" s="4"/>
      <c r="H166" s="4"/>
      <c r="I166" s="4"/>
    </row>
    <row r="167" ht="15.75" customHeight="1">
      <c r="A167" s="4"/>
      <c r="B167" s="4"/>
      <c r="C167" s="4"/>
      <c r="D167" s="4"/>
      <c r="E167" s="4"/>
      <c r="F167" s="4"/>
      <c r="G167" s="4"/>
      <c r="H167" s="4"/>
      <c r="I167" s="4"/>
    </row>
    <row r="168" ht="15.75" customHeight="1">
      <c r="A168" s="4"/>
      <c r="B168" s="4"/>
      <c r="C168" s="4"/>
      <c r="D168" s="4"/>
      <c r="E168" s="4"/>
      <c r="F168" s="4"/>
      <c r="G168" s="4"/>
      <c r="H168" s="4"/>
      <c r="I168" s="4"/>
    </row>
    <row r="169" ht="15.75" customHeight="1">
      <c r="A169" s="4"/>
      <c r="B169" s="4"/>
      <c r="C169" s="4"/>
      <c r="D169" s="4"/>
      <c r="E169" s="4"/>
      <c r="F169" s="4"/>
      <c r="G169" s="4"/>
      <c r="H169" s="4"/>
      <c r="I169" s="4"/>
    </row>
    <row r="170" ht="15.75" customHeight="1">
      <c r="A170" s="4"/>
      <c r="B170" s="4"/>
      <c r="C170" s="4"/>
      <c r="D170" s="4"/>
      <c r="E170" s="4"/>
      <c r="F170" s="4"/>
      <c r="G170" s="4"/>
      <c r="H170" s="4"/>
      <c r="I170" s="4"/>
    </row>
    <row r="171" ht="15.75" customHeight="1">
      <c r="A171" s="4"/>
      <c r="B171" s="4"/>
      <c r="C171" s="4"/>
      <c r="D171" s="4"/>
      <c r="E171" s="4"/>
      <c r="F171" s="4"/>
      <c r="G171" s="4"/>
      <c r="H171" s="4"/>
      <c r="I171" s="4"/>
    </row>
    <row r="172" ht="15.75" customHeight="1">
      <c r="A172" s="4"/>
      <c r="B172" s="4"/>
      <c r="C172" s="4"/>
      <c r="D172" s="4"/>
      <c r="E172" s="4"/>
      <c r="F172" s="4"/>
      <c r="G172" s="4"/>
      <c r="H172" s="4"/>
      <c r="I172" s="4"/>
    </row>
    <row r="173" ht="15.75" customHeight="1">
      <c r="A173" s="4"/>
      <c r="B173" s="4"/>
      <c r="C173" s="4"/>
      <c r="D173" s="4"/>
      <c r="E173" s="4"/>
      <c r="F173" s="4"/>
      <c r="G173" s="4"/>
      <c r="H173" s="4"/>
      <c r="I173" s="4"/>
    </row>
    <row r="174" ht="15.75" customHeight="1">
      <c r="A174" s="4"/>
      <c r="B174" s="4"/>
      <c r="C174" s="4"/>
      <c r="D174" s="4"/>
      <c r="E174" s="4"/>
      <c r="F174" s="4"/>
      <c r="G174" s="4"/>
      <c r="H174" s="4"/>
      <c r="I174" s="4"/>
    </row>
    <row r="175" ht="15.75" customHeight="1">
      <c r="A175" s="4"/>
      <c r="B175" s="4"/>
      <c r="C175" s="4"/>
      <c r="D175" s="4"/>
      <c r="E175" s="4"/>
      <c r="F175" s="4"/>
      <c r="G175" s="4"/>
      <c r="H175" s="4"/>
      <c r="I175" s="4"/>
    </row>
    <row r="176" ht="15.75" customHeight="1">
      <c r="A176" s="4"/>
      <c r="B176" s="4"/>
      <c r="C176" s="4"/>
      <c r="D176" s="4"/>
      <c r="E176" s="4"/>
      <c r="F176" s="4"/>
      <c r="G176" s="4"/>
      <c r="H176" s="4"/>
      <c r="I176" s="4"/>
    </row>
    <row r="177" ht="15.75" customHeight="1">
      <c r="A177" s="4"/>
      <c r="B177" s="4"/>
      <c r="C177" s="4"/>
      <c r="D177" s="4"/>
      <c r="E177" s="4"/>
      <c r="F177" s="4"/>
      <c r="G177" s="4"/>
      <c r="H177" s="4"/>
      <c r="I177" s="4"/>
    </row>
    <row r="178" ht="15.75" customHeight="1">
      <c r="A178" s="4"/>
      <c r="B178" s="4"/>
      <c r="C178" s="4"/>
      <c r="D178" s="4"/>
      <c r="E178" s="4"/>
      <c r="F178" s="4"/>
      <c r="G178" s="4"/>
      <c r="H178" s="4"/>
      <c r="I178" s="4"/>
    </row>
    <row r="179" ht="15.75" customHeight="1">
      <c r="A179" s="4"/>
      <c r="B179" s="4"/>
      <c r="C179" s="4"/>
      <c r="D179" s="4"/>
      <c r="E179" s="4"/>
      <c r="F179" s="4"/>
      <c r="G179" s="4"/>
      <c r="H179" s="4"/>
      <c r="I179" s="4"/>
    </row>
    <row r="180" ht="15.75" customHeight="1">
      <c r="A180" s="4"/>
      <c r="B180" s="4"/>
      <c r="C180" s="4"/>
      <c r="D180" s="4"/>
      <c r="E180" s="4"/>
      <c r="F180" s="4"/>
      <c r="G180" s="4"/>
      <c r="H180" s="4"/>
      <c r="I180" s="4"/>
    </row>
    <row r="181" ht="15.75" customHeight="1">
      <c r="A181" s="4"/>
      <c r="B181" s="4"/>
      <c r="C181" s="4"/>
      <c r="D181" s="4"/>
      <c r="E181" s="4"/>
      <c r="F181" s="4"/>
      <c r="G181" s="4"/>
      <c r="H181" s="4"/>
      <c r="I181" s="4"/>
    </row>
    <row r="182" ht="15.75" customHeight="1">
      <c r="A182" s="4"/>
      <c r="B182" s="4"/>
      <c r="C182" s="4"/>
      <c r="D182" s="4"/>
      <c r="E182" s="4"/>
      <c r="F182" s="4"/>
      <c r="G182" s="4"/>
      <c r="H182" s="4"/>
      <c r="I182" s="4"/>
    </row>
    <row r="183" ht="15.75" customHeight="1">
      <c r="A183" s="4"/>
      <c r="B183" s="4"/>
      <c r="C183" s="4"/>
      <c r="D183" s="4"/>
      <c r="E183" s="4"/>
      <c r="F183" s="4"/>
      <c r="G183" s="4"/>
      <c r="H183" s="4"/>
      <c r="I183" s="4"/>
    </row>
    <row r="184" ht="15.75" customHeight="1">
      <c r="A184" s="4"/>
      <c r="B184" s="4"/>
      <c r="C184" s="4"/>
      <c r="D184" s="4"/>
      <c r="E184" s="4"/>
      <c r="F184" s="4"/>
      <c r="G184" s="4"/>
      <c r="H184" s="4"/>
      <c r="I184" s="4"/>
    </row>
    <row r="185" ht="15.75" customHeight="1">
      <c r="A185" s="4"/>
      <c r="B185" s="4"/>
      <c r="C185" s="4"/>
      <c r="D185" s="4"/>
      <c r="E185" s="4"/>
      <c r="F185" s="4"/>
      <c r="G185" s="4"/>
      <c r="H185" s="4"/>
      <c r="I185" s="4"/>
    </row>
    <row r="186" ht="15.75" customHeight="1">
      <c r="A186" s="4"/>
      <c r="B186" s="4"/>
      <c r="C186" s="4"/>
      <c r="D186" s="4"/>
      <c r="E186" s="4"/>
      <c r="F186" s="4"/>
      <c r="G186" s="4"/>
      <c r="H186" s="4"/>
      <c r="I186" s="4"/>
    </row>
    <row r="187" ht="15.75" customHeight="1">
      <c r="A187" s="4"/>
      <c r="B187" s="4"/>
      <c r="C187" s="4"/>
      <c r="D187" s="4"/>
      <c r="E187" s="4"/>
      <c r="F187" s="4"/>
      <c r="G187" s="4"/>
      <c r="H187" s="4"/>
      <c r="I187" s="4"/>
    </row>
    <row r="188" ht="15.75" customHeight="1">
      <c r="A188" s="4"/>
      <c r="B188" s="4"/>
      <c r="C188" s="4"/>
      <c r="D188" s="4"/>
      <c r="E188" s="4"/>
      <c r="F188" s="4"/>
      <c r="G188" s="4"/>
      <c r="H188" s="4"/>
      <c r="I188" s="4"/>
    </row>
    <row r="189" ht="15.75" customHeight="1">
      <c r="A189" s="4"/>
      <c r="B189" s="4"/>
      <c r="C189" s="4"/>
      <c r="D189" s="4"/>
      <c r="E189" s="4"/>
      <c r="F189" s="4"/>
      <c r="G189" s="4"/>
      <c r="H189" s="4"/>
      <c r="I189" s="4"/>
    </row>
    <row r="190" ht="15.75" customHeight="1">
      <c r="A190" s="4"/>
      <c r="B190" s="4"/>
      <c r="C190" s="4"/>
      <c r="D190" s="4"/>
      <c r="E190" s="4"/>
      <c r="F190" s="4"/>
      <c r="G190" s="4"/>
      <c r="H190" s="4"/>
      <c r="I190" s="4"/>
    </row>
    <row r="191" ht="15.75" customHeight="1">
      <c r="A191" s="4"/>
      <c r="B191" s="4"/>
      <c r="C191" s="4"/>
      <c r="D191" s="4"/>
      <c r="E191" s="4"/>
      <c r="F191" s="4"/>
      <c r="G191" s="4"/>
      <c r="H191" s="4"/>
      <c r="I191" s="4"/>
    </row>
    <row r="192" ht="15.75" customHeight="1">
      <c r="A192" s="4"/>
      <c r="B192" s="4"/>
      <c r="C192" s="4"/>
      <c r="D192" s="4"/>
      <c r="E192" s="4"/>
      <c r="F192" s="4"/>
      <c r="G192" s="4"/>
      <c r="H192" s="4"/>
      <c r="I192" s="4"/>
    </row>
    <row r="193" ht="15.75" customHeight="1">
      <c r="A193" s="4"/>
      <c r="B193" s="4"/>
      <c r="C193" s="4"/>
      <c r="D193" s="4"/>
      <c r="E193" s="4"/>
      <c r="F193" s="4"/>
      <c r="G193" s="4"/>
      <c r="H193" s="4"/>
      <c r="I193" s="4"/>
    </row>
    <row r="194" ht="15.75" customHeight="1">
      <c r="A194" s="4"/>
      <c r="B194" s="4"/>
      <c r="C194" s="4"/>
      <c r="D194" s="4"/>
      <c r="E194" s="4"/>
      <c r="F194" s="4"/>
      <c r="G194" s="4"/>
      <c r="H194" s="4"/>
      <c r="I194" s="4"/>
    </row>
    <row r="195" ht="15.75" customHeight="1">
      <c r="A195" s="4"/>
      <c r="B195" s="4"/>
      <c r="C195" s="4"/>
      <c r="D195" s="4"/>
      <c r="E195" s="4"/>
      <c r="F195" s="4"/>
      <c r="G195" s="4"/>
      <c r="H195" s="4"/>
      <c r="I195" s="4"/>
    </row>
    <row r="196" ht="15.75" customHeight="1">
      <c r="A196" s="4"/>
      <c r="B196" s="4"/>
      <c r="C196" s="4"/>
      <c r="D196" s="4"/>
      <c r="E196" s="4"/>
      <c r="F196" s="4"/>
      <c r="G196" s="4"/>
      <c r="H196" s="4"/>
      <c r="I196" s="4"/>
    </row>
    <row r="197" ht="15.75" customHeight="1">
      <c r="A197" s="4"/>
      <c r="B197" s="4"/>
      <c r="C197" s="4"/>
      <c r="D197" s="4"/>
      <c r="E197" s="4"/>
      <c r="F197" s="4"/>
      <c r="G197" s="4"/>
      <c r="H197" s="4"/>
      <c r="I197" s="4"/>
    </row>
    <row r="198" ht="15.75" customHeight="1">
      <c r="A198" s="4"/>
      <c r="B198" s="4"/>
      <c r="C198" s="4"/>
      <c r="D198" s="4"/>
      <c r="E198" s="4"/>
      <c r="F198" s="4"/>
      <c r="G198" s="4"/>
      <c r="H198" s="4"/>
      <c r="I198" s="4"/>
    </row>
    <row r="199" ht="15.75" customHeight="1">
      <c r="A199" s="4"/>
      <c r="B199" s="4"/>
      <c r="C199" s="4"/>
      <c r="D199" s="4"/>
      <c r="E199" s="4"/>
      <c r="F199" s="4"/>
      <c r="G199" s="4"/>
      <c r="H199" s="4"/>
      <c r="I199" s="4"/>
    </row>
    <row r="200" ht="15.75" customHeight="1">
      <c r="A200" s="4"/>
      <c r="B200" s="4"/>
      <c r="C200" s="4"/>
      <c r="D200" s="4"/>
      <c r="E200" s="4"/>
      <c r="F200" s="4"/>
      <c r="G200" s="4"/>
      <c r="H200" s="4"/>
      <c r="I200" s="4"/>
    </row>
    <row r="201" ht="15.75" customHeight="1">
      <c r="A201" s="4"/>
      <c r="B201" s="4"/>
      <c r="C201" s="4"/>
      <c r="D201" s="4"/>
      <c r="E201" s="4"/>
      <c r="F201" s="4"/>
      <c r="G201" s="4"/>
      <c r="H201" s="4"/>
      <c r="I201" s="4"/>
    </row>
    <row r="202" ht="15.75" customHeight="1">
      <c r="A202" s="4"/>
      <c r="B202" s="4"/>
      <c r="C202" s="4"/>
      <c r="D202" s="4"/>
      <c r="E202" s="4"/>
      <c r="F202" s="4"/>
      <c r="G202" s="4"/>
      <c r="H202" s="4"/>
      <c r="I202" s="4"/>
    </row>
    <row r="203" ht="15.75" customHeight="1">
      <c r="A203" s="4"/>
      <c r="B203" s="4"/>
      <c r="C203" s="4"/>
      <c r="D203" s="4"/>
      <c r="E203" s="4"/>
      <c r="F203" s="4"/>
      <c r="G203" s="4"/>
      <c r="H203" s="4"/>
      <c r="I203" s="4"/>
    </row>
    <row r="204" ht="15.75" customHeight="1">
      <c r="A204" s="4"/>
      <c r="B204" s="4"/>
      <c r="C204" s="4"/>
      <c r="D204" s="4"/>
      <c r="E204" s="4"/>
      <c r="F204" s="4"/>
      <c r="G204" s="4"/>
      <c r="H204" s="4"/>
      <c r="I204" s="4"/>
    </row>
    <row r="205" ht="15.75" customHeight="1">
      <c r="A205" s="4"/>
      <c r="B205" s="4"/>
      <c r="C205" s="4"/>
      <c r="D205" s="4"/>
      <c r="E205" s="4"/>
      <c r="F205" s="4"/>
      <c r="G205" s="4"/>
      <c r="H205" s="4"/>
      <c r="I205" s="4"/>
    </row>
    <row r="206" ht="15.75" customHeight="1">
      <c r="A206" s="4"/>
      <c r="B206" s="4"/>
      <c r="C206" s="4"/>
      <c r="D206" s="4"/>
      <c r="E206" s="4"/>
      <c r="F206" s="4"/>
      <c r="G206" s="4"/>
      <c r="H206" s="4"/>
      <c r="I206" s="4"/>
    </row>
    <row r="207" ht="15.75" customHeight="1">
      <c r="A207" s="4"/>
      <c r="B207" s="4"/>
      <c r="C207" s="4"/>
      <c r="D207" s="4"/>
      <c r="E207" s="4"/>
      <c r="F207" s="4"/>
      <c r="G207" s="4"/>
      <c r="H207" s="4"/>
      <c r="I207" s="4"/>
    </row>
    <row r="208" ht="15.75" customHeight="1">
      <c r="A208" s="4"/>
      <c r="B208" s="4"/>
      <c r="C208" s="4"/>
      <c r="D208" s="4"/>
      <c r="E208" s="4"/>
      <c r="F208" s="4"/>
      <c r="G208" s="4"/>
      <c r="H208" s="4"/>
      <c r="I208" s="4"/>
    </row>
    <row r="209" ht="15.75" customHeight="1">
      <c r="A209" s="4"/>
      <c r="B209" s="4"/>
      <c r="C209" s="4"/>
      <c r="D209" s="4"/>
      <c r="E209" s="4"/>
      <c r="F209" s="4"/>
      <c r="G209" s="4"/>
      <c r="H209" s="4"/>
      <c r="I209" s="4"/>
    </row>
    <row r="210" ht="15.75" customHeight="1">
      <c r="A210" s="4"/>
      <c r="B210" s="4"/>
      <c r="C210" s="4"/>
      <c r="D210" s="4"/>
      <c r="E210" s="4"/>
      <c r="F210" s="4"/>
      <c r="G210" s="4"/>
      <c r="H210" s="4"/>
      <c r="I210" s="4"/>
    </row>
    <row r="211" ht="15.75" customHeight="1">
      <c r="A211" s="4"/>
      <c r="B211" s="4"/>
      <c r="C211" s="4"/>
      <c r="D211" s="4"/>
      <c r="E211" s="4"/>
      <c r="F211" s="4"/>
      <c r="G211" s="4"/>
      <c r="H211" s="4"/>
      <c r="I211" s="4"/>
    </row>
    <row r="212" ht="15.75" customHeight="1">
      <c r="A212" s="4"/>
      <c r="B212" s="4"/>
      <c r="C212" s="4"/>
      <c r="D212" s="4"/>
      <c r="E212" s="4"/>
      <c r="F212" s="4"/>
      <c r="G212" s="4"/>
      <c r="H212" s="4"/>
      <c r="I212" s="4"/>
    </row>
    <row r="213" ht="15.75" customHeight="1">
      <c r="A213" s="4"/>
      <c r="B213" s="4"/>
      <c r="C213" s="4"/>
      <c r="D213" s="4"/>
      <c r="E213" s="4"/>
      <c r="F213" s="4"/>
      <c r="G213" s="4"/>
      <c r="H213" s="4"/>
      <c r="I213" s="4"/>
    </row>
    <row r="214" ht="15.75" customHeight="1">
      <c r="A214" s="4"/>
      <c r="B214" s="4"/>
      <c r="C214" s="4"/>
      <c r="D214" s="4"/>
      <c r="E214" s="4"/>
      <c r="F214" s="4"/>
      <c r="G214" s="4"/>
      <c r="H214" s="4"/>
      <c r="I214" s="4"/>
    </row>
    <row r="215" ht="15.75" customHeight="1">
      <c r="A215" s="4"/>
      <c r="B215" s="4"/>
      <c r="C215" s="4"/>
      <c r="D215" s="4"/>
      <c r="E215" s="4"/>
      <c r="F215" s="4"/>
      <c r="G215" s="4"/>
      <c r="H215" s="4"/>
      <c r="I215" s="4"/>
    </row>
    <row r="216" ht="15.75" customHeight="1">
      <c r="A216" s="4"/>
      <c r="B216" s="4"/>
      <c r="C216" s="4"/>
      <c r="D216" s="4"/>
      <c r="E216" s="4"/>
      <c r="F216" s="4"/>
      <c r="G216" s="4"/>
      <c r="H216" s="4"/>
      <c r="I216" s="4"/>
    </row>
    <row r="217" ht="15.75" customHeight="1">
      <c r="A217" s="4"/>
      <c r="B217" s="4"/>
      <c r="C217" s="4"/>
      <c r="D217" s="4"/>
      <c r="E217" s="4"/>
      <c r="F217" s="4"/>
      <c r="G217" s="4"/>
      <c r="H217" s="4"/>
      <c r="I217" s="4"/>
    </row>
    <row r="218" ht="15.75" customHeight="1">
      <c r="A218" s="4"/>
      <c r="B218" s="4"/>
      <c r="C218" s="4"/>
      <c r="D218" s="4"/>
      <c r="E218" s="4"/>
      <c r="F218" s="4"/>
      <c r="G218" s="4"/>
      <c r="H218" s="4"/>
      <c r="I218" s="4"/>
    </row>
    <row r="219" ht="15.75" customHeight="1">
      <c r="A219" s="4"/>
      <c r="B219" s="4"/>
      <c r="C219" s="4"/>
      <c r="D219" s="4"/>
      <c r="E219" s="4"/>
      <c r="F219" s="4"/>
      <c r="G219" s="4"/>
      <c r="H219" s="4"/>
      <c r="I219" s="4"/>
    </row>
    <row r="220" ht="15.75" customHeight="1">
      <c r="A220" s="4"/>
      <c r="B220" s="4"/>
      <c r="C220" s="4"/>
      <c r="D220" s="4"/>
      <c r="E220" s="4"/>
      <c r="F220" s="4"/>
      <c r="G220" s="4"/>
      <c r="H220" s="4"/>
      <c r="I220" s="4"/>
    </row>
    <row r="221" ht="15.75" customHeight="1">
      <c r="A221" s="4"/>
      <c r="B221" s="4"/>
      <c r="C221" s="4"/>
      <c r="D221" s="4"/>
      <c r="E221" s="4"/>
      <c r="F221" s="4"/>
      <c r="G221" s="4"/>
      <c r="H221" s="4"/>
      <c r="I221" s="4"/>
    </row>
    <row r="222" ht="15.75" customHeight="1">
      <c r="A222" s="4"/>
      <c r="B222" s="4"/>
      <c r="C222" s="4"/>
      <c r="D222" s="4"/>
      <c r="E222" s="4"/>
      <c r="F222" s="4"/>
      <c r="G222" s="4"/>
      <c r="H222" s="4"/>
      <c r="I222" s="4"/>
    </row>
    <row r="223" ht="15.75" customHeight="1">
      <c r="A223" s="4"/>
      <c r="B223" s="4"/>
      <c r="C223" s="4"/>
      <c r="D223" s="4"/>
      <c r="E223" s="4"/>
      <c r="F223" s="4"/>
      <c r="G223" s="4"/>
      <c r="H223" s="4"/>
      <c r="I223" s="4"/>
    </row>
    <row r="224" ht="15.75" customHeight="1">
      <c r="A224" s="4"/>
      <c r="B224" s="4"/>
      <c r="C224" s="4"/>
      <c r="D224" s="4"/>
      <c r="E224" s="4"/>
      <c r="F224" s="4"/>
      <c r="G224" s="4"/>
      <c r="H224" s="4"/>
      <c r="I224" s="4"/>
    </row>
    <row r="225" ht="15.75" customHeight="1">
      <c r="A225" s="4"/>
      <c r="B225" s="4"/>
      <c r="C225" s="4"/>
      <c r="D225" s="4"/>
      <c r="E225" s="4"/>
      <c r="F225" s="4"/>
      <c r="G225" s="4"/>
      <c r="H225" s="4"/>
      <c r="I225" s="4"/>
    </row>
    <row r="226" ht="15.75" customHeight="1">
      <c r="A226" s="4"/>
      <c r="B226" s="4"/>
      <c r="C226" s="4"/>
      <c r="D226" s="4"/>
      <c r="E226" s="4"/>
      <c r="F226" s="4"/>
      <c r="G226" s="4"/>
      <c r="H226" s="4"/>
      <c r="I226" s="4"/>
    </row>
    <row r="227" ht="15.75" customHeight="1">
      <c r="A227" s="4"/>
      <c r="B227" s="4"/>
      <c r="C227" s="4"/>
      <c r="D227" s="4"/>
      <c r="E227" s="4"/>
      <c r="F227" s="4"/>
      <c r="G227" s="4"/>
      <c r="H227" s="4"/>
      <c r="I227" s="4"/>
    </row>
    <row r="228" ht="15.75" customHeight="1">
      <c r="A228" s="4"/>
      <c r="B228" s="4"/>
      <c r="C228" s="4"/>
      <c r="D228" s="4"/>
      <c r="E228" s="4"/>
      <c r="F228" s="4"/>
      <c r="G228" s="4"/>
      <c r="H228" s="4"/>
      <c r="I228" s="4"/>
    </row>
    <row r="229" ht="15.75" customHeight="1">
      <c r="A229" s="4"/>
      <c r="B229" s="4"/>
      <c r="C229" s="4"/>
      <c r="D229" s="4"/>
      <c r="E229" s="4"/>
      <c r="F229" s="4"/>
      <c r="G229" s="4"/>
      <c r="H229" s="4"/>
      <c r="I229" s="4"/>
    </row>
    <row r="230" ht="15.75" customHeight="1">
      <c r="A230" s="4"/>
      <c r="B230" s="4"/>
      <c r="C230" s="4"/>
      <c r="D230" s="4"/>
      <c r="E230" s="4"/>
      <c r="F230" s="4"/>
      <c r="G230" s="4"/>
      <c r="H230" s="4"/>
      <c r="I230" s="4"/>
    </row>
    <row r="231" ht="15.75" customHeight="1">
      <c r="A231" s="4"/>
      <c r="B231" s="4"/>
      <c r="C231" s="4"/>
      <c r="D231" s="4"/>
      <c r="E231" s="4"/>
      <c r="F231" s="4"/>
      <c r="G231" s="4"/>
      <c r="H231" s="4"/>
      <c r="I231" s="4"/>
    </row>
    <row r="232" ht="15.75" customHeight="1">
      <c r="A232" s="4"/>
      <c r="B232" s="4"/>
      <c r="C232" s="4"/>
      <c r="D232" s="4"/>
      <c r="E232" s="4"/>
      <c r="F232" s="4"/>
      <c r="G232" s="4"/>
      <c r="H232" s="4"/>
      <c r="I232" s="4"/>
    </row>
    <row r="233" ht="15.75" customHeight="1">
      <c r="A233" s="4"/>
      <c r="B233" s="4"/>
      <c r="C233" s="4"/>
      <c r="D233" s="4"/>
      <c r="E233" s="4"/>
      <c r="F233" s="4"/>
      <c r="G233" s="4"/>
      <c r="H233" s="4"/>
      <c r="I233" s="4"/>
    </row>
    <row r="234" ht="15.75" customHeight="1">
      <c r="A234" s="4"/>
      <c r="B234" s="4"/>
      <c r="C234" s="4"/>
      <c r="D234" s="4"/>
      <c r="E234" s="4"/>
      <c r="F234" s="4"/>
      <c r="G234" s="4"/>
      <c r="H234" s="4"/>
      <c r="I234" s="4"/>
    </row>
    <row r="235" ht="15.75" customHeight="1">
      <c r="A235" s="4"/>
      <c r="B235" s="4"/>
      <c r="C235" s="4"/>
      <c r="D235" s="4"/>
      <c r="E235" s="4"/>
      <c r="F235" s="4"/>
      <c r="G235" s="4"/>
      <c r="H235" s="4"/>
      <c r="I235" s="4"/>
    </row>
    <row r="236" ht="15.75" customHeight="1">
      <c r="A236" s="4"/>
      <c r="B236" s="4"/>
      <c r="C236" s="4"/>
      <c r="D236" s="4"/>
      <c r="E236" s="4"/>
      <c r="F236" s="4"/>
      <c r="G236" s="4"/>
      <c r="H236" s="4"/>
      <c r="I236" s="4"/>
    </row>
    <row r="237" ht="15.75" customHeight="1">
      <c r="A237" s="4"/>
      <c r="B237" s="4"/>
      <c r="C237" s="4"/>
      <c r="D237" s="4"/>
      <c r="E237" s="4"/>
      <c r="F237" s="4"/>
      <c r="G237" s="4"/>
      <c r="H237" s="4"/>
      <c r="I237" s="4"/>
    </row>
    <row r="238" ht="15.75" customHeight="1">
      <c r="A238" s="4"/>
      <c r="B238" s="4"/>
      <c r="C238" s="4"/>
      <c r="D238" s="4"/>
      <c r="E238" s="4"/>
      <c r="F238" s="4"/>
      <c r="G238" s="4"/>
      <c r="H238" s="4"/>
      <c r="I238" s="4"/>
    </row>
    <row r="239" ht="15.75" customHeight="1">
      <c r="A239" s="4"/>
      <c r="B239" s="4"/>
      <c r="C239" s="4"/>
      <c r="D239" s="4"/>
      <c r="E239" s="4"/>
      <c r="F239" s="4"/>
      <c r="G239" s="4"/>
      <c r="H239" s="4"/>
      <c r="I239" s="4"/>
    </row>
    <row r="240" ht="15.75" customHeight="1">
      <c r="A240" s="4"/>
      <c r="B240" s="4"/>
      <c r="C240" s="4"/>
      <c r="D240" s="4"/>
      <c r="E240" s="4"/>
      <c r="F240" s="4"/>
      <c r="G240" s="4"/>
      <c r="H240" s="4"/>
      <c r="I240" s="4"/>
    </row>
    <row r="241" ht="15.75" customHeight="1">
      <c r="A241" s="4"/>
      <c r="B241" s="4"/>
      <c r="C241" s="4"/>
      <c r="D241" s="4"/>
      <c r="E241" s="4"/>
      <c r="F241" s="4"/>
      <c r="G241" s="4"/>
      <c r="H241" s="4"/>
      <c r="I241" s="4"/>
    </row>
    <row r="242" ht="15.75" customHeight="1">
      <c r="A242" s="4"/>
      <c r="B242" s="4"/>
      <c r="C242" s="4"/>
      <c r="D242" s="4"/>
      <c r="E242" s="4"/>
      <c r="F242" s="4"/>
      <c r="G242" s="4"/>
      <c r="H242" s="4"/>
      <c r="I242" s="4"/>
    </row>
    <row r="243" ht="15.75" customHeight="1">
      <c r="A243" s="4"/>
      <c r="B243" s="4"/>
      <c r="C243" s="4"/>
      <c r="D243" s="4"/>
      <c r="E243" s="4"/>
      <c r="F243" s="4"/>
      <c r="G243" s="4"/>
      <c r="H243" s="4"/>
      <c r="I243" s="4"/>
    </row>
    <row r="244" ht="15.75" customHeight="1">
      <c r="A244" s="4"/>
      <c r="B244" s="4"/>
      <c r="C244" s="4"/>
      <c r="D244" s="4"/>
      <c r="E244" s="4"/>
      <c r="F244" s="4"/>
      <c r="G244" s="4"/>
      <c r="H244" s="4"/>
      <c r="I244" s="4"/>
    </row>
    <row r="245" ht="15.75" customHeight="1">
      <c r="A245" s="4"/>
      <c r="B245" s="4"/>
      <c r="C245" s="4"/>
      <c r="D245" s="4"/>
      <c r="E245" s="4"/>
      <c r="F245" s="4"/>
      <c r="G245" s="4"/>
      <c r="H245" s="4"/>
      <c r="I245" s="4"/>
    </row>
    <row r="246" ht="15.75" customHeight="1">
      <c r="A246" s="4"/>
      <c r="B246" s="4"/>
      <c r="C246" s="4"/>
      <c r="D246" s="4"/>
      <c r="E246" s="4"/>
      <c r="F246" s="4"/>
      <c r="G246" s="4"/>
      <c r="H246" s="4"/>
      <c r="I246" s="4"/>
    </row>
    <row r="247" ht="15.75" customHeight="1">
      <c r="A247" s="4"/>
      <c r="B247" s="4"/>
      <c r="C247" s="4"/>
      <c r="D247" s="4"/>
      <c r="E247" s="4"/>
      <c r="F247" s="4"/>
      <c r="G247" s="4"/>
      <c r="H247" s="4"/>
      <c r="I247" s="4"/>
    </row>
    <row r="248" ht="15.75" customHeight="1">
      <c r="A248" s="4"/>
      <c r="B248" s="4"/>
      <c r="C248" s="4"/>
      <c r="D248" s="4"/>
      <c r="E248" s="4"/>
      <c r="F248" s="4"/>
      <c r="G248" s="4"/>
      <c r="H248" s="4"/>
      <c r="I248" s="4"/>
    </row>
    <row r="249" ht="15.75" customHeight="1">
      <c r="A249" s="4"/>
      <c r="B249" s="4"/>
      <c r="C249" s="4"/>
      <c r="D249" s="4"/>
      <c r="E249" s="4"/>
      <c r="F249" s="4"/>
      <c r="G249" s="4"/>
      <c r="H249" s="4"/>
      <c r="I249" s="4"/>
    </row>
    <row r="250" ht="15.75" customHeight="1">
      <c r="A250" s="4"/>
      <c r="B250" s="4"/>
      <c r="C250" s="4"/>
      <c r="D250" s="4"/>
      <c r="E250" s="4"/>
      <c r="F250" s="4"/>
      <c r="G250" s="4"/>
      <c r="H250" s="4"/>
      <c r="I250" s="4"/>
    </row>
    <row r="251" ht="15.75" customHeight="1">
      <c r="A251" s="4"/>
      <c r="B251" s="4"/>
      <c r="C251" s="4"/>
      <c r="D251" s="4"/>
      <c r="E251" s="4"/>
      <c r="F251" s="4"/>
      <c r="G251" s="4"/>
      <c r="H251" s="4"/>
      <c r="I251" s="4"/>
    </row>
    <row r="252" ht="15.75" customHeight="1">
      <c r="A252" s="4"/>
      <c r="B252" s="4"/>
      <c r="C252" s="4"/>
      <c r="D252" s="4"/>
      <c r="E252" s="4"/>
      <c r="F252" s="4"/>
      <c r="G252" s="4"/>
      <c r="H252" s="4"/>
      <c r="I252" s="4"/>
    </row>
    <row r="253" ht="15.75" customHeight="1">
      <c r="A253" s="4"/>
      <c r="B253" s="4"/>
      <c r="C253" s="4"/>
      <c r="D253" s="4"/>
      <c r="E253" s="4"/>
      <c r="F253" s="4"/>
      <c r="G253" s="4"/>
      <c r="H253" s="4"/>
      <c r="I253" s="4"/>
    </row>
    <row r="254" ht="15.75" customHeight="1">
      <c r="A254" s="4"/>
      <c r="B254" s="4"/>
      <c r="C254" s="4"/>
      <c r="D254" s="4"/>
      <c r="E254" s="4"/>
      <c r="F254" s="4"/>
      <c r="G254" s="4"/>
      <c r="H254" s="4"/>
      <c r="I254" s="4"/>
    </row>
    <row r="255" ht="15.75" customHeight="1">
      <c r="A255" s="4"/>
      <c r="B255" s="4"/>
      <c r="C255" s="4"/>
      <c r="D255" s="4"/>
      <c r="E255" s="4"/>
      <c r="F255" s="4"/>
      <c r="G255" s="4"/>
      <c r="H255" s="4"/>
      <c r="I255" s="4"/>
    </row>
    <row r="256" ht="15.75" customHeight="1">
      <c r="A256" s="4"/>
      <c r="B256" s="4"/>
      <c r="C256" s="4"/>
      <c r="D256" s="4"/>
      <c r="E256" s="4"/>
      <c r="F256" s="4"/>
      <c r="G256" s="4"/>
      <c r="H256" s="4"/>
      <c r="I256" s="4"/>
    </row>
    <row r="257" ht="15.75" customHeight="1">
      <c r="A257" s="4"/>
      <c r="B257" s="4"/>
      <c r="C257" s="4"/>
      <c r="D257" s="4"/>
      <c r="E257" s="4"/>
      <c r="F257" s="4"/>
      <c r="G257" s="4"/>
      <c r="H257" s="4"/>
      <c r="I257" s="4"/>
    </row>
    <row r="258" ht="15.75" customHeight="1">
      <c r="A258" s="4"/>
      <c r="B258" s="4"/>
      <c r="C258" s="4"/>
      <c r="D258" s="4"/>
      <c r="E258" s="4"/>
      <c r="F258" s="4"/>
      <c r="G258" s="4"/>
      <c r="H258" s="4"/>
      <c r="I258" s="4"/>
    </row>
    <row r="259" ht="15.75" customHeight="1">
      <c r="A259" s="4"/>
      <c r="B259" s="4"/>
      <c r="C259" s="4"/>
      <c r="D259" s="4"/>
      <c r="E259" s="4"/>
      <c r="F259" s="4"/>
      <c r="G259" s="4"/>
      <c r="H259" s="4"/>
      <c r="I259" s="4"/>
    </row>
    <row r="260" ht="15.75" customHeight="1">
      <c r="A260" s="4"/>
      <c r="B260" s="4"/>
      <c r="C260" s="4"/>
      <c r="D260" s="4"/>
      <c r="E260" s="4"/>
      <c r="F260" s="4"/>
      <c r="G260" s="4"/>
      <c r="H260" s="4"/>
      <c r="I260" s="4"/>
    </row>
    <row r="261" ht="15.75" customHeight="1">
      <c r="A261" s="4"/>
      <c r="B261" s="4"/>
      <c r="C261" s="4"/>
      <c r="D261" s="4"/>
      <c r="E261" s="4"/>
      <c r="F261" s="4"/>
      <c r="G261" s="4"/>
      <c r="H261" s="4"/>
      <c r="I261" s="4"/>
    </row>
    <row r="262" ht="15.75" customHeight="1">
      <c r="A262" s="4"/>
      <c r="B262" s="4"/>
      <c r="C262" s="4"/>
      <c r="D262" s="4"/>
      <c r="E262" s="4"/>
      <c r="F262" s="4"/>
      <c r="G262" s="4"/>
      <c r="H262" s="4"/>
      <c r="I262" s="4"/>
    </row>
    <row r="263" ht="15.75" customHeight="1">
      <c r="A263" s="4"/>
      <c r="B263" s="4"/>
      <c r="C263" s="4"/>
      <c r="D263" s="4"/>
      <c r="E263" s="4"/>
      <c r="F263" s="4"/>
      <c r="G263" s="4"/>
      <c r="H263" s="4"/>
      <c r="I263" s="4"/>
    </row>
    <row r="264" ht="15.75" customHeight="1">
      <c r="A264" s="4"/>
      <c r="B264" s="4"/>
      <c r="C264" s="4"/>
      <c r="D264" s="4"/>
      <c r="E264" s="4"/>
      <c r="F264" s="4"/>
      <c r="G264" s="4"/>
      <c r="H264" s="4"/>
      <c r="I264" s="4"/>
    </row>
    <row r="265" ht="15.75" customHeight="1">
      <c r="A265" s="4"/>
      <c r="B265" s="4"/>
      <c r="C265" s="4"/>
      <c r="D265" s="4"/>
      <c r="E265" s="4"/>
      <c r="F265" s="4"/>
      <c r="G265" s="4"/>
      <c r="H265" s="4"/>
      <c r="I265" s="4"/>
    </row>
    <row r="266" ht="15.75" customHeight="1">
      <c r="A266" s="4"/>
      <c r="B266" s="4"/>
      <c r="C266" s="4"/>
      <c r="D266" s="4"/>
      <c r="E266" s="4"/>
      <c r="F266" s="4"/>
      <c r="G266" s="4"/>
      <c r="H266" s="4"/>
      <c r="I266" s="4"/>
    </row>
    <row r="267" ht="15.75" customHeight="1">
      <c r="A267" s="4"/>
      <c r="B267" s="4"/>
      <c r="C267" s="4"/>
      <c r="D267" s="4"/>
      <c r="E267" s="4"/>
      <c r="F267" s="4"/>
      <c r="G267" s="4"/>
      <c r="H267" s="4"/>
      <c r="I267" s="4"/>
    </row>
    <row r="268" ht="15.75" customHeight="1">
      <c r="A268" s="4"/>
      <c r="B268" s="4"/>
      <c r="C268" s="4"/>
      <c r="D268" s="4"/>
      <c r="E268" s="4"/>
      <c r="F268" s="4"/>
      <c r="G268" s="4"/>
      <c r="H268" s="4"/>
      <c r="I268" s="4"/>
    </row>
    <row r="269" ht="15.75" customHeight="1">
      <c r="A269" s="4"/>
      <c r="B269" s="4"/>
      <c r="C269" s="4"/>
      <c r="D269" s="4"/>
      <c r="E269" s="4"/>
      <c r="F269" s="4"/>
      <c r="G269" s="4"/>
      <c r="H269" s="4"/>
      <c r="I269" s="4"/>
    </row>
    <row r="270" ht="15.75" customHeight="1">
      <c r="A270" s="4"/>
      <c r="B270" s="4"/>
      <c r="C270" s="4"/>
      <c r="D270" s="4"/>
      <c r="E270" s="4"/>
      <c r="F270" s="4"/>
      <c r="G270" s="4"/>
      <c r="H270" s="4"/>
      <c r="I270" s="4"/>
    </row>
    <row r="271" ht="15.75" customHeight="1">
      <c r="A271" s="4"/>
      <c r="B271" s="4"/>
      <c r="C271" s="4"/>
      <c r="D271" s="4"/>
      <c r="E271" s="4"/>
      <c r="F271" s="4"/>
      <c r="G271" s="4"/>
      <c r="H271" s="4"/>
      <c r="I271" s="4"/>
    </row>
    <row r="272" ht="15.75" customHeight="1">
      <c r="A272" s="4"/>
      <c r="B272" s="4"/>
      <c r="C272" s="4"/>
      <c r="D272" s="4"/>
      <c r="E272" s="4"/>
      <c r="F272" s="4"/>
      <c r="G272" s="4"/>
      <c r="H272" s="4"/>
      <c r="I272" s="4"/>
    </row>
    <row r="273" ht="15.75" customHeight="1">
      <c r="A273" s="4"/>
      <c r="B273" s="4"/>
      <c r="C273" s="4"/>
      <c r="D273" s="4"/>
      <c r="E273" s="4"/>
      <c r="F273" s="4"/>
      <c r="G273" s="4"/>
      <c r="H273" s="4"/>
      <c r="I273" s="4"/>
    </row>
    <row r="274" ht="15.75" customHeight="1">
      <c r="A274" s="4"/>
      <c r="B274" s="4"/>
      <c r="C274" s="4"/>
      <c r="D274" s="4"/>
      <c r="E274" s="4"/>
      <c r="F274" s="4"/>
      <c r="G274" s="4"/>
      <c r="H274" s="4"/>
      <c r="I274" s="4"/>
    </row>
    <row r="275" ht="15.75" customHeight="1">
      <c r="A275" s="4"/>
      <c r="B275" s="4"/>
      <c r="C275" s="4"/>
      <c r="D275" s="4"/>
      <c r="E275" s="4"/>
      <c r="F275" s="4"/>
      <c r="G275" s="4"/>
      <c r="H275" s="4"/>
      <c r="I275" s="4"/>
    </row>
    <row r="276" ht="15.75" customHeight="1">
      <c r="A276" s="4"/>
      <c r="B276" s="4"/>
      <c r="C276" s="4"/>
      <c r="D276" s="4"/>
      <c r="E276" s="4"/>
      <c r="F276" s="4"/>
      <c r="G276" s="4"/>
      <c r="H276" s="4"/>
      <c r="I276" s="4"/>
    </row>
    <row r="277" ht="15.75" customHeight="1">
      <c r="A277" s="4"/>
      <c r="B277" s="4"/>
      <c r="C277" s="4"/>
      <c r="D277" s="4"/>
      <c r="E277" s="4"/>
      <c r="F277" s="4"/>
      <c r="G277" s="4"/>
      <c r="H277" s="4"/>
      <c r="I277" s="4"/>
    </row>
    <row r="278" ht="15.75" customHeight="1">
      <c r="A278" s="4"/>
      <c r="B278" s="4"/>
      <c r="C278" s="4"/>
      <c r="D278" s="4"/>
      <c r="E278" s="4"/>
      <c r="F278" s="4"/>
      <c r="G278" s="4"/>
      <c r="H278" s="4"/>
      <c r="I278" s="4"/>
    </row>
    <row r="279" ht="15.75" customHeight="1">
      <c r="A279" s="4"/>
      <c r="B279" s="4"/>
      <c r="C279" s="4"/>
      <c r="D279" s="4"/>
      <c r="E279" s="4"/>
      <c r="F279" s="4"/>
      <c r="G279" s="4"/>
      <c r="H279" s="4"/>
      <c r="I279" s="4"/>
    </row>
    <row r="280" ht="15.75" customHeight="1">
      <c r="A280" s="4"/>
      <c r="B280" s="4"/>
      <c r="C280" s="4"/>
      <c r="D280" s="4"/>
      <c r="E280" s="4"/>
      <c r="F280" s="4"/>
      <c r="G280" s="4"/>
      <c r="H280" s="4"/>
      <c r="I280" s="4"/>
    </row>
    <row r="281" ht="15.75" customHeight="1">
      <c r="A281" s="4"/>
      <c r="B281" s="4"/>
      <c r="C281" s="4"/>
      <c r="D281" s="4"/>
      <c r="E281" s="4"/>
      <c r="F281" s="4"/>
      <c r="G281" s="4"/>
      <c r="H281" s="4"/>
      <c r="I281" s="4"/>
    </row>
    <row r="282" ht="15.75" customHeight="1">
      <c r="A282" s="4"/>
      <c r="B282" s="4"/>
      <c r="C282" s="4"/>
      <c r="D282" s="4"/>
      <c r="E282" s="4"/>
      <c r="F282" s="4"/>
      <c r="G282" s="4"/>
      <c r="H282" s="4"/>
      <c r="I282" s="4"/>
    </row>
    <row r="283" ht="15.75" customHeight="1">
      <c r="A283" s="4"/>
      <c r="B283" s="4"/>
      <c r="C283" s="4"/>
      <c r="D283" s="4"/>
      <c r="E283" s="4"/>
      <c r="F283" s="4"/>
      <c r="G283" s="4"/>
      <c r="H283" s="4"/>
      <c r="I283" s="4"/>
    </row>
    <row r="284" ht="15.75" customHeight="1">
      <c r="A284" s="4"/>
      <c r="B284" s="4"/>
      <c r="C284" s="4"/>
      <c r="D284" s="4"/>
      <c r="E284" s="4"/>
      <c r="F284" s="4"/>
      <c r="G284" s="4"/>
      <c r="H284" s="4"/>
      <c r="I284" s="4"/>
    </row>
    <row r="285" ht="15.75" customHeight="1">
      <c r="A285" s="4"/>
      <c r="B285" s="4"/>
      <c r="C285" s="4"/>
      <c r="D285" s="4"/>
      <c r="E285" s="4"/>
      <c r="F285" s="4"/>
      <c r="G285" s="4"/>
      <c r="H285" s="4"/>
      <c r="I285" s="4"/>
    </row>
    <row r="286" ht="15.75" customHeight="1">
      <c r="A286" s="4"/>
      <c r="B286" s="4"/>
      <c r="C286" s="4"/>
      <c r="D286" s="4"/>
      <c r="E286" s="4"/>
      <c r="F286" s="4"/>
      <c r="G286" s="4"/>
      <c r="H286" s="4"/>
      <c r="I286" s="4"/>
    </row>
    <row r="287" ht="15.75" customHeight="1">
      <c r="A287" s="4"/>
      <c r="B287" s="4"/>
      <c r="C287" s="4"/>
      <c r="D287" s="4"/>
      <c r="E287" s="4"/>
      <c r="F287" s="4"/>
      <c r="G287" s="4"/>
      <c r="H287" s="4"/>
      <c r="I287" s="4"/>
    </row>
    <row r="288" ht="15.75" customHeight="1">
      <c r="A288" s="4"/>
      <c r="B288" s="4"/>
      <c r="C288" s="4"/>
      <c r="D288" s="4"/>
      <c r="E288" s="4"/>
      <c r="F288" s="4"/>
      <c r="G288" s="4"/>
      <c r="H288" s="4"/>
      <c r="I288" s="4"/>
    </row>
    <row r="289" ht="15.75" customHeight="1">
      <c r="A289" s="4"/>
      <c r="B289" s="4"/>
      <c r="C289" s="4"/>
      <c r="D289" s="4"/>
      <c r="E289" s="4"/>
      <c r="F289" s="4"/>
      <c r="G289" s="4"/>
      <c r="H289" s="4"/>
      <c r="I289" s="4"/>
    </row>
    <row r="290" ht="15.75" customHeight="1">
      <c r="A290" s="4"/>
      <c r="B290" s="4"/>
      <c r="C290" s="4"/>
      <c r="D290" s="4"/>
      <c r="E290" s="4"/>
      <c r="F290" s="4"/>
      <c r="G290" s="4"/>
      <c r="H290" s="4"/>
      <c r="I290" s="4"/>
    </row>
    <row r="291" ht="15.75" customHeight="1">
      <c r="A291" s="4"/>
      <c r="B291" s="4"/>
      <c r="C291" s="4"/>
      <c r="D291" s="4"/>
      <c r="E291" s="4"/>
      <c r="F291" s="4"/>
      <c r="G291" s="4"/>
      <c r="H291" s="4"/>
      <c r="I291" s="4"/>
    </row>
    <row r="292" ht="15.75" customHeight="1">
      <c r="A292" s="4"/>
      <c r="B292" s="4"/>
      <c r="C292" s="4"/>
      <c r="D292" s="4"/>
      <c r="E292" s="4"/>
      <c r="F292" s="4"/>
      <c r="G292" s="4"/>
      <c r="H292" s="4"/>
      <c r="I292" s="4"/>
    </row>
    <row r="293" ht="15.75" customHeight="1">
      <c r="A293" s="4"/>
      <c r="B293" s="4"/>
      <c r="C293" s="4"/>
      <c r="D293" s="4"/>
      <c r="E293" s="4"/>
      <c r="F293" s="4"/>
      <c r="G293" s="4"/>
      <c r="H293" s="4"/>
      <c r="I293" s="4"/>
    </row>
    <row r="294" ht="15.75" customHeight="1">
      <c r="A294" s="4"/>
      <c r="B294" s="4"/>
      <c r="C294" s="4"/>
      <c r="D294" s="4"/>
      <c r="E294" s="4"/>
      <c r="F294" s="4"/>
      <c r="G294" s="4"/>
      <c r="H294" s="4"/>
      <c r="I294" s="4"/>
    </row>
    <row r="295" ht="15.75" customHeight="1">
      <c r="A295" s="4"/>
      <c r="B295" s="4"/>
      <c r="C295" s="4"/>
      <c r="D295" s="4"/>
      <c r="E295" s="4"/>
      <c r="F295" s="4"/>
      <c r="G295" s="4"/>
      <c r="H295" s="4"/>
      <c r="I295" s="4"/>
    </row>
    <row r="296" ht="15.75" customHeight="1">
      <c r="A296" s="4"/>
      <c r="B296" s="4"/>
      <c r="C296" s="4"/>
      <c r="D296" s="4"/>
      <c r="E296" s="4"/>
      <c r="F296" s="4"/>
      <c r="G296" s="4"/>
      <c r="H296" s="4"/>
      <c r="I296" s="4"/>
    </row>
    <row r="297" ht="15.75" customHeight="1">
      <c r="A297" s="4"/>
      <c r="B297" s="4"/>
      <c r="C297" s="4"/>
      <c r="D297" s="4"/>
      <c r="E297" s="4"/>
      <c r="F297" s="4"/>
      <c r="G297" s="4"/>
      <c r="H297" s="4"/>
      <c r="I297" s="4"/>
    </row>
    <row r="298" ht="15.75" customHeight="1">
      <c r="A298" s="4"/>
      <c r="B298" s="4"/>
      <c r="C298" s="4"/>
      <c r="D298" s="4"/>
      <c r="E298" s="4"/>
      <c r="F298" s="4"/>
      <c r="G298" s="4"/>
      <c r="H298" s="4"/>
      <c r="I298" s="4"/>
    </row>
    <row r="299" ht="15.75" customHeight="1">
      <c r="A299" s="4"/>
      <c r="B299" s="4"/>
      <c r="C299" s="4"/>
      <c r="D299" s="4"/>
      <c r="E299" s="4"/>
      <c r="F299" s="4"/>
      <c r="G299" s="4"/>
      <c r="H299" s="4"/>
      <c r="I299" s="4"/>
    </row>
    <row r="300" ht="15.75" customHeight="1">
      <c r="A300" s="4"/>
      <c r="B300" s="4"/>
      <c r="C300" s="4"/>
      <c r="D300" s="4"/>
      <c r="E300" s="4"/>
      <c r="F300" s="4"/>
      <c r="G300" s="4"/>
      <c r="H300" s="4"/>
      <c r="I300" s="4"/>
    </row>
    <row r="301" ht="15.75" customHeight="1">
      <c r="A301" s="4"/>
      <c r="B301" s="4"/>
      <c r="C301" s="4"/>
      <c r="D301" s="4"/>
      <c r="E301" s="4"/>
      <c r="F301" s="4"/>
      <c r="G301" s="4"/>
      <c r="H301" s="4"/>
      <c r="I301" s="4"/>
    </row>
    <row r="302" ht="15.75" customHeight="1">
      <c r="A302" s="4"/>
      <c r="B302" s="4"/>
      <c r="C302" s="4"/>
      <c r="D302" s="4"/>
      <c r="E302" s="4"/>
      <c r="F302" s="4"/>
      <c r="G302" s="4"/>
      <c r="H302" s="4"/>
      <c r="I302" s="4"/>
    </row>
    <row r="303" ht="15.75" customHeight="1">
      <c r="A303" s="4"/>
      <c r="B303" s="4"/>
      <c r="C303" s="4"/>
      <c r="D303" s="4"/>
      <c r="E303" s="4"/>
      <c r="F303" s="4"/>
      <c r="G303" s="4"/>
      <c r="H303" s="4"/>
      <c r="I303" s="4"/>
    </row>
    <row r="304" ht="15.75" customHeight="1">
      <c r="A304" s="4"/>
      <c r="B304" s="4"/>
      <c r="C304" s="4"/>
      <c r="D304" s="4"/>
      <c r="E304" s="4"/>
      <c r="F304" s="4"/>
      <c r="G304" s="4"/>
      <c r="H304" s="4"/>
      <c r="I304" s="4"/>
    </row>
    <row r="305" ht="15.75" customHeight="1">
      <c r="A305" s="4"/>
      <c r="B305" s="4"/>
      <c r="C305" s="4"/>
      <c r="D305" s="4"/>
      <c r="E305" s="4"/>
      <c r="F305" s="4"/>
      <c r="G305" s="4"/>
      <c r="H305" s="4"/>
      <c r="I305" s="4"/>
    </row>
    <row r="306" ht="15.75" customHeight="1">
      <c r="A306" s="4"/>
      <c r="B306" s="4"/>
      <c r="C306" s="4"/>
      <c r="D306" s="4"/>
      <c r="E306" s="4"/>
      <c r="F306" s="4"/>
      <c r="G306" s="4"/>
      <c r="H306" s="4"/>
      <c r="I306" s="4"/>
    </row>
    <row r="307" ht="15.75" customHeight="1">
      <c r="A307" s="4"/>
      <c r="B307" s="4"/>
      <c r="C307" s="4"/>
      <c r="D307" s="4"/>
      <c r="E307" s="4"/>
      <c r="F307" s="4"/>
      <c r="G307" s="4"/>
      <c r="H307" s="4"/>
      <c r="I307" s="4"/>
    </row>
    <row r="308" ht="15.75" customHeight="1">
      <c r="A308" s="4"/>
      <c r="B308" s="4"/>
      <c r="C308" s="4"/>
      <c r="D308" s="4"/>
      <c r="E308" s="4"/>
      <c r="F308" s="4"/>
      <c r="G308" s="4"/>
      <c r="H308" s="4"/>
      <c r="I308" s="4"/>
    </row>
    <row r="309" ht="15.75" customHeight="1">
      <c r="A309" s="4"/>
      <c r="B309" s="4"/>
      <c r="C309" s="4"/>
      <c r="D309" s="4"/>
      <c r="E309" s="4"/>
      <c r="F309" s="4"/>
      <c r="G309" s="4"/>
      <c r="H309" s="4"/>
      <c r="I309" s="4"/>
    </row>
    <row r="310" ht="15.75" customHeight="1">
      <c r="A310" s="4"/>
      <c r="B310" s="4"/>
      <c r="C310" s="4"/>
      <c r="D310" s="4"/>
      <c r="E310" s="4"/>
      <c r="F310" s="4"/>
      <c r="G310" s="4"/>
      <c r="H310" s="4"/>
      <c r="I310" s="4"/>
    </row>
    <row r="311" ht="15.75" customHeight="1">
      <c r="A311" s="4"/>
      <c r="B311" s="4"/>
      <c r="C311" s="4"/>
      <c r="D311" s="4"/>
      <c r="E311" s="4"/>
      <c r="F311" s="4"/>
      <c r="G311" s="4"/>
      <c r="H311" s="4"/>
      <c r="I311" s="4"/>
    </row>
    <row r="312" ht="15.75" customHeight="1">
      <c r="A312" s="4"/>
      <c r="B312" s="4"/>
      <c r="C312" s="4"/>
      <c r="D312" s="4"/>
      <c r="E312" s="4"/>
      <c r="F312" s="4"/>
      <c r="G312" s="4"/>
      <c r="H312" s="4"/>
      <c r="I312" s="4"/>
    </row>
    <row r="313" ht="15.75" customHeight="1">
      <c r="A313" s="4"/>
      <c r="B313" s="4"/>
      <c r="C313" s="4"/>
      <c r="D313" s="4"/>
      <c r="E313" s="4"/>
      <c r="F313" s="4"/>
      <c r="G313" s="4"/>
      <c r="H313" s="4"/>
      <c r="I313" s="4"/>
    </row>
    <row r="314" ht="15.75" customHeight="1">
      <c r="A314" s="4"/>
      <c r="B314" s="4"/>
      <c r="C314" s="4"/>
      <c r="D314" s="4"/>
      <c r="E314" s="4"/>
      <c r="F314" s="4"/>
      <c r="G314" s="4"/>
      <c r="H314" s="4"/>
      <c r="I314" s="4"/>
    </row>
    <row r="315" ht="15.75" customHeight="1">
      <c r="A315" s="4"/>
      <c r="B315" s="4"/>
      <c r="C315" s="4"/>
      <c r="D315" s="4"/>
      <c r="E315" s="4"/>
      <c r="F315" s="4"/>
      <c r="G315" s="4"/>
      <c r="H315" s="4"/>
      <c r="I315" s="4"/>
    </row>
    <row r="316" ht="15.75" customHeight="1">
      <c r="A316" s="4"/>
      <c r="B316" s="4"/>
      <c r="C316" s="4"/>
      <c r="D316" s="4"/>
      <c r="E316" s="4"/>
      <c r="F316" s="4"/>
      <c r="G316" s="4"/>
      <c r="H316" s="4"/>
      <c r="I316" s="4"/>
    </row>
    <row r="317" ht="15.75" customHeight="1">
      <c r="A317" s="4"/>
      <c r="B317" s="4"/>
      <c r="C317" s="4"/>
      <c r="D317" s="4"/>
      <c r="E317" s="4"/>
      <c r="F317" s="4"/>
      <c r="G317" s="4"/>
      <c r="H317" s="4"/>
      <c r="I317" s="4"/>
    </row>
    <row r="318" ht="15.75" customHeight="1">
      <c r="A318" s="4"/>
      <c r="B318" s="4"/>
      <c r="C318" s="4"/>
      <c r="D318" s="4"/>
      <c r="E318" s="4"/>
      <c r="F318" s="4"/>
      <c r="G318" s="4"/>
      <c r="H318" s="4"/>
      <c r="I318" s="4"/>
    </row>
    <row r="319" ht="15.75" customHeight="1">
      <c r="A319" s="4"/>
      <c r="B319" s="4"/>
      <c r="C319" s="4"/>
      <c r="D319" s="4"/>
      <c r="E319" s="4"/>
      <c r="F319" s="4"/>
      <c r="G319" s="4"/>
      <c r="H319" s="4"/>
      <c r="I319" s="4"/>
    </row>
    <row r="320" ht="15.75" customHeight="1">
      <c r="A320" s="4"/>
      <c r="B320" s="4"/>
      <c r="C320" s="4"/>
      <c r="D320" s="4"/>
      <c r="E320" s="4"/>
      <c r="F320" s="4"/>
      <c r="G320" s="4"/>
      <c r="H320" s="4"/>
      <c r="I320" s="4"/>
    </row>
    <row r="321" ht="15.75" customHeight="1">
      <c r="A321" s="4"/>
      <c r="B321" s="4"/>
      <c r="C321" s="4"/>
      <c r="D321" s="4"/>
      <c r="E321" s="4"/>
      <c r="F321" s="4"/>
      <c r="G321" s="4"/>
      <c r="H321" s="4"/>
      <c r="I321" s="4"/>
    </row>
    <row r="322" ht="15.75" customHeight="1">
      <c r="A322" s="4"/>
      <c r="B322" s="4"/>
      <c r="C322" s="4"/>
      <c r="D322" s="4"/>
      <c r="E322" s="4"/>
      <c r="F322" s="4"/>
      <c r="G322" s="4"/>
      <c r="H322" s="4"/>
      <c r="I322" s="4"/>
    </row>
    <row r="323" ht="15.75" customHeight="1">
      <c r="A323" s="4"/>
      <c r="B323" s="4"/>
      <c r="C323" s="4"/>
      <c r="D323" s="4"/>
      <c r="E323" s="4"/>
      <c r="F323" s="4"/>
      <c r="G323" s="4"/>
      <c r="H323" s="4"/>
      <c r="I323" s="4"/>
    </row>
    <row r="324" ht="15.75" customHeight="1">
      <c r="A324" s="4"/>
      <c r="B324" s="4"/>
      <c r="C324" s="4"/>
      <c r="D324" s="4"/>
      <c r="E324" s="4"/>
      <c r="F324" s="4"/>
      <c r="G324" s="4"/>
      <c r="H324" s="4"/>
      <c r="I324" s="4"/>
    </row>
    <row r="325" ht="15.75" customHeight="1">
      <c r="A325" s="4"/>
      <c r="B325" s="4"/>
      <c r="C325" s="4"/>
      <c r="D325" s="4"/>
      <c r="E325" s="4"/>
      <c r="F325" s="4"/>
      <c r="G325" s="4"/>
      <c r="H325" s="4"/>
      <c r="I325" s="4"/>
    </row>
    <row r="326" ht="15.75" customHeight="1">
      <c r="A326" s="4"/>
      <c r="B326" s="4"/>
      <c r="C326" s="4"/>
      <c r="D326" s="4"/>
      <c r="E326" s="4"/>
      <c r="F326" s="4"/>
      <c r="G326" s="4"/>
      <c r="H326" s="4"/>
      <c r="I326" s="4"/>
    </row>
    <row r="327" ht="15.75" customHeight="1">
      <c r="A327" s="4"/>
      <c r="B327" s="4"/>
      <c r="C327" s="4"/>
      <c r="D327" s="4"/>
      <c r="E327" s="4"/>
      <c r="F327" s="4"/>
      <c r="G327" s="4"/>
      <c r="H327" s="4"/>
      <c r="I327" s="4"/>
    </row>
    <row r="328" ht="15.75" customHeight="1">
      <c r="A328" s="4"/>
      <c r="B328" s="4"/>
      <c r="C328" s="4"/>
      <c r="D328" s="4"/>
      <c r="E328" s="4"/>
      <c r="F328" s="4"/>
      <c r="G328" s="4"/>
      <c r="H328" s="4"/>
      <c r="I328" s="4"/>
    </row>
    <row r="329" ht="15.75" customHeight="1">
      <c r="A329" s="4"/>
      <c r="B329" s="4"/>
      <c r="C329" s="4"/>
      <c r="D329" s="4"/>
      <c r="E329" s="4"/>
      <c r="F329" s="4"/>
      <c r="G329" s="4"/>
      <c r="H329" s="4"/>
      <c r="I329" s="4"/>
    </row>
    <row r="330" ht="15.75" customHeight="1">
      <c r="A330" s="4"/>
      <c r="B330" s="4"/>
      <c r="C330" s="4"/>
      <c r="D330" s="4"/>
      <c r="E330" s="4"/>
      <c r="F330" s="4"/>
      <c r="G330" s="4"/>
      <c r="H330" s="4"/>
      <c r="I330" s="4"/>
    </row>
    <row r="331" ht="15.75" customHeight="1">
      <c r="A331" s="4"/>
      <c r="B331" s="4"/>
      <c r="C331" s="4"/>
      <c r="D331" s="4"/>
      <c r="E331" s="4"/>
      <c r="F331" s="4"/>
      <c r="G331" s="4"/>
      <c r="H331" s="4"/>
      <c r="I331" s="4"/>
    </row>
    <row r="332" ht="15.75" customHeight="1">
      <c r="A332" s="4"/>
      <c r="B332" s="4"/>
      <c r="C332" s="4"/>
      <c r="D332" s="4"/>
      <c r="E332" s="4"/>
      <c r="F332" s="4"/>
      <c r="G332" s="4"/>
      <c r="H332" s="4"/>
      <c r="I332" s="4"/>
    </row>
    <row r="333" ht="15.75" customHeight="1">
      <c r="A333" s="4"/>
      <c r="B333" s="4"/>
      <c r="C333" s="4"/>
      <c r="D333" s="4"/>
      <c r="E333" s="4"/>
      <c r="F333" s="4"/>
      <c r="G333" s="4"/>
      <c r="H333" s="4"/>
      <c r="I333" s="4"/>
    </row>
    <row r="334" ht="15.75" customHeight="1">
      <c r="A334" s="4"/>
      <c r="B334" s="4"/>
      <c r="C334" s="4"/>
      <c r="D334" s="4"/>
      <c r="E334" s="4"/>
      <c r="F334" s="4"/>
      <c r="G334" s="4"/>
      <c r="H334" s="4"/>
      <c r="I334" s="4"/>
    </row>
    <row r="335" ht="15.75" customHeight="1">
      <c r="A335" s="4"/>
      <c r="B335" s="4"/>
      <c r="C335" s="4"/>
      <c r="D335" s="4"/>
      <c r="E335" s="4"/>
      <c r="F335" s="4"/>
      <c r="G335" s="4"/>
      <c r="H335" s="4"/>
      <c r="I335" s="4"/>
    </row>
    <row r="336" ht="15.75" customHeight="1">
      <c r="A336" s="4"/>
      <c r="B336" s="4"/>
      <c r="C336" s="4"/>
      <c r="D336" s="4"/>
      <c r="E336" s="4"/>
      <c r="F336" s="4"/>
      <c r="G336" s="4"/>
      <c r="H336" s="4"/>
      <c r="I336" s="4"/>
    </row>
    <row r="337" ht="15.75" customHeight="1">
      <c r="A337" s="4"/>
      <c r="B337" s="4"/>
      <c r="C337" s="4"/>
      <c r="D337" s="4"/>
      <c r="E337" s="4"/>
      <c r="F337" s="4"/>
      <c r="G337" s="4"/>
      <c r="H337" s="4"/>
      <c r="I337" s="4"/>
    </row>
    <row r="338" ht="15.75" customHeight="1">
      <c r="A338" s="4"/>
      <c r="B338" s="4"/>
      <c r="C338" s="4"/>
      <c r="D338" s="4"/>
      <c r="E338" s="4"/>
      <c r="F338" s="4"/>
      <c r="G338" s="4"/>
      <c r="H338" s="4"/>
      <c r="I338" s="4"/>
    </row>
    <row r="339" ht="15.75" customHeight="1">
      <c r="A339" s="4"/>
      <c r="B339" s="4"/>
      <c r="C339" s="4"/>
      <c r="D339" s="4"/>
      <c r="E339" s="4"/>
      <c r="F339" s="4"/>
      <c r="G339" s="4"/>
      <c r="H339" s="4"/>
      <c r="I339" s="4"/>
    </row>
    <row r="340" ht="15.75" customHeight="1">
      <c r="A340" s="4"/>
      <c r="B340" s="4"/>
      <c r="C340" s="4"/>
      <c r="D340" s="4"/>
      <c r="E340" s="4"/>
      <c r="F340" s="4"/>
      <c r="G340" s="4"/>
      <c r="H340" s="4"/>
      <c r="I340" s="4"/>
    </row>
    <row r="341" ht="15.75" customHeight="1">
      <c r="A341" s="4"/>
      <c r="B341" s="4"/>
      <c r="C341" s="4"/>
      <c r="D341" s="4"/>
      <c r="E341" s="4"/>
      <c r="F341" s="4"/>
      <c r="G341" s="4"/>
      <c r="H341" s="4"/>
      <c r="I341" s="4"/>
    </row>
    <row r="342" ht="15.75" customHeight="1">
      <c r="A342" s="4"/>
      <c r="B342" s="4"/>
      <c r="C342" s="4"/>
      <c r="D342" s="4"/>
      <c r="E342" s="4"/>
      <c r="F342" s="4"/>
      <c r="G342" s="4"/>
      <c r="H342" s="4"/>
      <c r="I342" s="4"/>
    </row>
    <row r="343" ht="15.75" customHeight="1">
      <c r="A343" s="4"/>
      <c r="B343" s="4"/>
      <c r="C343" s="4"/>
      <c r="D343" s="4"/>
      <c r="E343" s="4"/>
      <c r="F343" s="4"/>
      <c r="G343" s="4"/>
      <c r="H343" s="4"/>
      <c r="I343" s="4"/>
    </row>
    <row r="344" ht="15.75" customHeight="1">
      <c r="A344" s="4"/>
      <c r="B344" s="4"/>
      <c r="C344" s="4"/>
      <c r="D344" s="4"/>
      <c r="E344" s="4"/>
      <c r="F344" s="4"/>
      <c r="G344" s="4"/>
      <c r="H344" s="4"/>
      <c r="I344" s="4"/>
    </row>
    <row r="345" ht="15.75" customHeight="1">
      <c r="A345" s="4"/>
      <c r="B345" s="4"/>
      <c r="C345" s="4"/>
      <c r="D345" s="4"/>
      <c r="E345" s="4"/>
      <c r="F345" s="4"/>
      <c r="G345" s="4"/>
      <c r="H345" s="4"/>
      <c r="I345" s="4"/>
    </row>
    <row r="346" ht="15.75" customHeight="1">
      <c r="A346" s="4"/>
      <c r="B346" s="4"/>
      <c r="C346" s="4"/>
      <c r="D346" s="4"/>
      <c r="E346" s="4"/>
      <c r="F346" s="4"/>
      <c r="G346" s="4"/>
      <c r="H346" s="4"/>
      <c r="I346" s="4"/>
    </row>
    <row r="347" ht="15.75" customHeight="1">
      <c r="A347" s="4"/>
      <c r="B347" s="4"/>
      <c r="C347" s="4"/>
      <c r="D347" s="4"/>
      <c r="E347" s="4"/>
      <c r="F347" s="4"/>
      <c r="G347" s="4"/>
      <c r="H347" s="4"/>
      <c r="I347" s="4"/>
    </row>
    <row r="348" ht="15.75" customHeight="1">
      <c r="A348" s="4"/>
      <c r="B348" s="4"/>
      <c r="C348" s="4"/>
      <c r="D348" s="4"/>
      <c r="E348" s="4"/>
      <c r="F348" s="4"/>
      <c r="G348" s="4"/>
      <c r="H348" s="4"/>
      <c r="I348" s="4"/>
    </row>
    <row r="349" ht="15.75" customHeight="1">
      <c r="A349" s="4"/>
      <c r="B349" s="4"/>
      <c r="C349" s="4"/>
      <c r="D349" s="4"/>
      <c r="E349" s="4"/>
      <c r="F349" s="4"/>
      <c r="G349" s="4"/>
      <c r="H349" s="4"/>
      <c r="I349" s="4"/>
    </row>
    <row r="350" ht="15.75" customHeight="1">
      <c r="A350" s="4"/>
      <c r="B350" s="4"/>
      <c r="C350" s="4"/>
      <c r="D350" s="4"/>
      <c r="E350" s="4"/>
      <c r="F350" s="4"/>
      <c r="G350" s="4"/>
      <c r="H350" s="4"/>
      <c r="I350" s="4"/>
    </row>
    <row r="351" ht="15.75" customHeight="1">
      <c r="A351" s="4"/>
      <c r="B351" s="4"/>
      <c r="C351" s="4"/>
      <c r="D351" s="4"/>
      <c r="E351" s="4"/>
      <c r="F351" s="4"/>
      <c r="G351" s="4"/>
      <c r="H351" s="4"/>
      <c r="I351" s="4"/>
    </row>
    <row r="352" ht="15.75" customHeight="1">
      <c r="A352" s="4"/>
      <c r="B352" s="4"/>
      <c r="C352" s="4"/>
      <c r="D352" s="4"/>
      <c r="E352" s="4"/>
      <c r="F352" s="4"/>
      <c r="G352" s="4"/>
      <c r="H352" s="4"/>
      <c r="I352" s="4"/>
    </row>
    <row r="353" ht="15.75" customHeight="1">
      <c r="A353" s="4"/>
      <c r="B353" s="4"/>
      <c r="C353" s="4"/>
      <c r="D353" s="4"/>
      <c r="E353" s="4"/>
      <c r="F353" s="4"/>
      <c r="G353" s="4"/>
      <c r="H353" s="4"/>
      <c r="I353" s="4"/>
    </row>
    <row r="354" ht="15.75" customHeight="1">
      <c r="A354" s="4"/>
      <c r="B354" s="4"/>
      <c r="C354" s="4"/>
      <c r="D354" s="4"/>
      <c r="E354" s="4"/>
      <c r="F354" s="4"/>
      <c r="G354" s="4"/>
      <c r="H354" s="4"/>
      <c r="I354" s="4"/>
    </row>
    <row r="355" ht="15.75" customHeight="1">
      <c r="A355" s="4"/>
      <c r="B355" s="4"/>
      <c r="C355" s="4"/>
      <c r="D355" s="4"/>
      <c r="E355" s="4"/>
      <c r="F355" s="4"/>
      <c r="G355" s="4"/>
      <c r="H355" s="4"/>
      <c r="I355" s="4"/>
    </row>
    <row r="356" ht="15.75" customHeight="1">
      <c r="A356" s="4"/>
      <c r="B356" s="4"/>
      <c r="C356" s="4"/>
      <c r="D356" s="4"/>
      <c r="E356" s="4"/>
      <c r="F356" s="4"/>
      <c r="G356" s="4"/>
      <c r="H356" s="4"/>
      <c r="I356" s="4"/>
    </row>
    <row r="357" ht="15.75" customHeight="1">
      <c r="A357" s="4"/>
      <c r="B357" s="4"/>
      <c r="C357" s="4"/>
      <c r="D357" s="4"/>
      <c r="E357" s="4"/>
      <c r="F357" s="4"/>
      <c r="G357" s="4"/>
      <c r="H357" s="4"/>
      <c r="I357" s="4"/>
    </row>
    <row r="358" ht="15.75" customHeight="1">
      <c r="A358" s="4"/>
      <c r="B358" s="4"/>
      <c r="C358" s="4"/>
      <c r="D358" s="4"/>
      <c r="E358" s="4"/>
      <c r="F358" s="4"/>
      <c r="G358" s="4"/>
      <c r="H358" s="4"/>
      <c r="I358" s="4"/>
    </row>
    <row r="359" ht="15.75" customHeight="1">
      <c r="A359" s="4"/>
      <c r="B359" s="4"/>
      <c r="C359" s="4"/>
      <c r="D359" s="4"/>
      <c r="E359" s="4"/>
      <c r="F359" s="4"/>
      <c r="G359" s="4"/>
      <c r="H359" s="4"/>
      <c r="I359" s="4"/>
    </row>
    <row r="360" ht="15.75" customHeight="1">
      <c r="A360" s="4"/>
      <c r="B360" s="4"/>
      <c r="C360" s="4"/>
      <c r="D360" s="4"/>
      <c r="E360" s="4"/>
      <c r="F360" s="4"/>
      <c r="G360" s="4"/>
      <c r="H360" s="4"/>
      <c r="I360" s="4"/>
    </row>
    <row r="361" ht="15.75" customHeight="1">
      <c r="A361" s="4"/>
      <c r="B361" s="4"/>
      <c r="C361" s="4"/>
      <c r="D361" s="4"/>
      <c r="E361" s="4"/>
      <c r="F361" s="4"/>
      <c r="G361" s="4"/>
      <c r="H361" s="4"/>
      <c r="I361" s="4"/>
    </row>
    <row r="362" ht="15.75" customHeight="1">
      <c r="A362" s="4"/>
      <c r="B362" s="4"/>
      <c r="C362" s="4"/>
      <c r="D362" s="4"/>
      <c r="E362" s="4"/>
      <c r="F362" s="4"/>
      <c r="G362" s="4"/>
      <c r="H362" s="4"/>
      <c r="I362" s="4"/>
    </row>
    <row r="363" ht="15.75" customHeight="1">
      <c r="A363" s="4"/>
      <c r="B363" s="4"/>
      <c r="C363" s="4"/>
      <c r="D363" s="4"/>
      <c r="E363" s="4"/>
      <c r="F363" s="4"/>
      <c r="G363" s="4"/>
      <c r="H363" s="4"/>
      <c r="I363" s="4"/>
    </row>
    <row r="364" ht="15.75" customHeight="1">
      <c r="A364" s="4"/>
      <c r="B364" s="4"/>
      <c r="C364" s="4"/>
      <c r="D364" s="4"/>
      <c r="E364" s="4"/>
      <c r="F364" s="4"/>
      <c r="G364" s="4"/>
      <c r="H364" s="4"/>
      <c r="I364" s="4"/>
    </row>
    <row r="365" ht="15.75" customHeight="1">
      <c r="A365" s="4"/>
      <c r="B365" s="4"/>
      <c r="C365" s="4"/>
      <c r="D365" s="4"/>
      <c r="E365" s="4"/>
      <c r="F365" s="4"/>
      <c r="G365" s="4"/>
      <c r="H365" s="4"/>
      <c r="I365" s="4"/>
    </row>
    <row r="366" ht="15.75" customHeight="1">
      <c r="A366" s="4"/>
      <c r="B366" s="4"/>
      <c r="C366" s="4"/>
      <c r="D366" s="4"/>
      <c r="E366" s="4"/>
      <c r="F366" s="4"/>
      <c r="G366" s="4"/>
      <c r="H366" s="4"/>
      <c r="I366" s="4"/>
    </row>
    <row r="367" ht="15.75" customHeight="1">
      <c r="A367" s="4"/>
      <c r="B367" s="4"/>
      <c r="C367" s="4"/>
      <c r="D367" s="4"/>
      <c r="E367" s="4"/>
      <c r="F367" s="4"/>
      <c r="G367" s="4"/>
      <c r="H367" s="4"/>
      <c r="I367" s="4"/>
    </row>
    <row r="368" ht="15.75" customHeight="1">
      <c r="A368" s="4"/>
      <c r="B368" s="4"/>
      <c r="C368" s="4"/>
      <c r="D368" s="4"/>
      <c r="E368" s="4"/>
      <c r="F368" s="4"/>
      <c r="G368" s="4"/>
      <c r="H368" s="4"/>
      <c r="I368" s="4"/>
    </row>
    <row r="369" ht="15.75" customHeight="1">
      <c r="A369" s="4"/>
      <c r="B369" s="4"/>
      <c r="C369" s="4"/>
      <c r="D369" s="4"/>
      <c r="E369" s="4"/>
      <c r="F369" s="4"/>
      <c r="G369" s="4"/>
      <c r="H369" s="4"/>
      <c r="I369" s="4"/>
    </row>
    <row r="370" ht="15.75" customHeight="1">
      <c r="A370" s="4"/>
      <c r="B370" s="4"/>
      <c r="C370" s="4"/>
      <c r="D370" s="4"/>
      <c r="E370" s="4"/>
      <c r="F370" s="4"/>
      <c r="G370" s="4"/>
      <c r="H370" s="4"/>
      <c r="I370" s="4"/>
    </row>
    <row r="371" ht="15.75" customHeight="1">
      <c r="A371" s="4"/>
      <c r="B371" s="4"/>
      <c r="C371" s="4"/>
      <c r="D371" s="4"/>
      <c r="E371" s="4"/>
      <c r="F371" s="4"/>
      <c r="G371" s="4"/>
      <c r="H371" s="4"/>
      <c r="I371" s="4"/>
    </row>
    <row r="372" ht="15.75" customHeight="1">
      <c r="A372" s="4"/>
      <c r="B372" s="4"/>
      <c r="C372" s="4"/>
      <c r="D372" s="4"/>
      <c r="E372" s="4"/>
      <c r="F372" s="4"/>
      <c r="G372" s="4"/>
      <c r="H372" s="4"/>
      <c r="I372" s="4"/>
    </row>
    <row r="373" ht="15.75" customHeight="1">
      <c r="A373" s="4"/>
      <c r="B373" s="4"/>
      <c r="C373" s="4"/>
      <c r="D373" s="4"/>
      <c r="E373" s="4"/>
      <c r="F373" s="4"/>
      <c r="G373" s="4"/>
      <c r="H373" s="4"/>
      <c r="I373" s="4"/>
    </row>
    <row r="374" ht="15.75" customHeight="1">
      <c r="A374" s="4"/>
      <c r="B374" s="4"/>
      <c r="C374" s="4"/>
      <c r="D374" s="4"/>
      <c r="E374" s="4"/>
      <c r="F374" s="4"/>
      <c r="G374" s="4"/>
      <c r="H374" s="4"/>
      <c r="I374" s="4"/>
    </row>
    <row r="375" ht="15.75" customHeight="1">
      <c r="A375" s="4"/>
      <c r="B375" s="4"/>
      <c r="C375" s="4"/>
      <c r="D375" s="4"/>
      <c r="E375" s="4"/>
      <c r="F375" s="4"/>
      <c r="G375" s="4"/>
      <c r="H375" s="4"/>
      <c r="I375" s="4"/>
    </row>
    <row r="376" ht="15.75" customHeight="1">
      <c r="A376" s="4"/>
      <c r="B376" s="4"/>
      <c r="C376" s="4"/>
      <c r="D376" s="4"/>
      <c r="E376" s="4"/>
      <c r="F376" s="4"/>
      <c r="G376" s="4"/>
      <c r="H376" s="4"/>
      <c r="I376" s="4"/>
    </row>
    <row r="377" ht="15.75" customHeight="1">
      <c r="A377" s="4"/>
      <c r="B377" s="4"/>
      <c r="C377" s="4"/>
      <c r="D377" s="4"/>
      <c r="E377" s="4"/>
      <c r="F377" s="4"/>
      <c r="G377" s="4"/>
      <c r="H377" s="4"/>
      <c r="I377" s="4"/>
    </row>
    <row r="378" ht="15.75" customHeight="1">
      <c r="A378" s="4"/>
      <c r="B378" s="4"/>
      <c r="C378" s="4"/>
      <c r="D378" s="4"/>
      <c r="E378" s="4"/>
      <c r="F378" s="4"/>
      <c r="G378" s="4"/>
      <c r="H378" s="4"/>
      <c r="I378" s="4"/>
    </row>
    <row r="379" ht="15.75" customHeight="1">
      <c r="A379" s="4"/>
      <c r="B379" s="4"/>
      <c r="C379" s="4"/>
      <c r="D379" s="4"/>
      <c r="E379" s="4"/>
      <c r="F379" s="4"/>
      <c r="G379" s="4"/>
      <c r="H379" s="4"/>
      <c r="I379" s="4"/>
    </row>
    <row r="380" ht="15.75" customHeight="1">
      <c r="A380" s="4"/>
      <c r="B380" s="4"/>
      <c r="C380" s="4"/>
      <c r="D380" s="4"/>
      <c r="E380" s="4"/>
      <c r="F380" s="4"/>
      <c r="G380" s="4"/>
      <c r="H380" s="4"/>
      <c r="I380" s="4"/>
    </row>
    <row r="381" ht="15.75" customHeight="1">
      <c r="A381" s="4"/>
      <c r="B381" s="4"/>
      <c r="C381" s="4"/>
      <c r="D381" s="4"/>
      <c r="E381" s="4"/>
      <c r="F381" s="4"/>
      <c r="G381" s="4"/>
      <c r="H381" s="4"/>
      <c r="I381" s="4"/>
    </row>
    <row r="382" ht="15.75" customHeight="1">
      <c r="A382" s="4"/>
      <c r="B382" s="4"/>
      <c r="C382" s="4"/>
      <c r="D382" s="4"/>
      <c r="E382" s="4"/>
      <c r="F382" s="4"/>
      <c r="G382" s="4"/>
      <c r="H382" s="4"/>
      <c r="I382" s="4"/>
    </row>
    <row r="383" ht="15.75" customHeight="1">
      <c r="A383" s="4"/>
      <c r="B383" s="4"/>
      <c r="C383" s="4"/>
      <c r="D383" s="4"/>
      <c r="E383" s="4"/>
      <c r="F383" s="4"/>
      <c r="G383" s="4"/>
      <c r="H383" s="4"/>
      <c r="I383" s="4"/>
    </row>
    <row r="384" ht="15.75" customHeight="1">
      <c r="A384" s="4"/>
      <c r="B384" s="4"/>
      <c r="C384" s="4"/>
      <c r="D384" s="4"/>
      <c r="E384" s="4"/>
      <c r="F384" s="4"/>
      <c r="G384" s="4"/>
      <c r="H384" s="4"/>
      <c r="I384" s="4"/>
    </row>
    <row r="385" ht="15.75" customHeight="1">
      <c r="A385" s="4"/>
      <c r="B385" s="4"/>
      <c r="C385" s="4"/>
      <c r="D385" s="4"/>
      <c r="E385" s="4"/>
      <c r="F385" s="4"/>
      <c r="G385" s="4"/>
      <c r="H385" s="4"/>
      <c r="I385" s="4"/>
    </row>
    <row r="386" ht="15.75" customHeight="1">
      <c r="A386" s="4"/>
      <c r="B386" s="4"/>
      <c r="C386" s="4"/>
      <c r="D386" s="4"/>
      <c r="E386" s="4"/>
      <c r="F386" s="4"/>
      <c r="G386" s="4"/>
      <c r="H386" s="4"/>
      <c r="I386" s="4"/>
    </row>
    <row r="387" ht="15.75" customHeight="1">
      <c r="A387" s="4"/>
      <c r="B387" s="4"/>
      <c r="C387" s="4"/>
      <c r="D387" s="4"/>
      <c r="E387" s="4"/>
      <c r="F387" s="4"/>
      <c r="G387" s="4"/>
      <c r="H387" s="4"/>
      <c r="I387" s="4"/>
    </row>
    <row r="388" ht="15.75" customHeight="1">
      <c r="A388" s="4"/>
      <c r="B388" s="4"/>
      <c r="C388" s="4"/>
      <c r="D388" s="4"/>
      <c r="E388" s="4"/>
      <c r="F388" s="4"/>
      <c r="G388" s="4"/>
      <c r="H388" s="4"/>
      <c r="I388" s="4"/>
    </row>
    <row r="389" ht="15.75" customHeight="1">
      <c r="A389" s="4"/>
      <c r="B389" s="4"/>
      <c r="C389" s="4"/>
      <c r="D389" s="4"/>
      <c r="E389" s="4"/>
      <c r="F389" s="4"/>
      <c r="G389" s="4"/>
      <c r="H389" s="4"/>
      <c r="I389" s="4"/>
    </row>
    <row r="390" ht="15.75" customHeight="1">
      <c r="A390" s="4"/>
      <c r="B390" s="4"/>
      <c r="C390" s="4"/>
      <c r="D390" s="4"/>
      <c r="E390" s="4"/>
      <c r="F390" s="4"/>
      <c r="G390" s="4"/>
      <c r="H390" s="4"/>
      <c r="I390" s="4"/>
    </row>
    <row r="391" ht="15.75" customHeight="1">
      <c r="A391" s="4"/>
      <c r="B391" s="4"/>
      <c r="C391" s="4"/>
      <c r="D391" s="4"/>
      <c r="E391" s="4"/>
      <c r="F391" s="4"/>
      <c r="G391" s="4"/>
      <c r="H391" s="4"/>
      <c r="I391" s="4"/>
    </row>
    <row r="392" ht="15.75" customHeight="1">
      <c r="A392" s="4"/>
      <c r="B392" s="4"/>
      <c r="C392" s="4"/>
      <c r="D392" s="4"/>
      <c r="E392" s="4"/>
      <c r="F392" s="4"/>
      <c r="G392" s="4"/>
      <c r="H392" s="4"/>
      <c r="I392" s="4"/>
    </row>
    <row r="393" ht="15.75" customHeight="1">
      <c r="A393" s="4"/>
      <c r="B393" s="4"/>
      <c r="C393" s="4"/>
      <c r="D393" s="4"/>
      <c r="E393" s="4"/>
      <c r="F393" s="4"/>
      <c r="G393" s="4"/>
      <c r="H393" s="4"/>
      <c r="I393" s="4"/>
    </row>
    <row r="394" ht="15.75" customHeight="1">
      <c r="A394" s="4"/>
      <c r="B394" s="4"/>
      <c r="C394" s="4"/>
      <c r="D394" s="4"/>
      <c r="E394" s="4"/>
      <c r="F394" s="4"/>
      <c r="G394" s="4"/>
      <c r="H394" s="4"/>
      <c r="I394" s="4"/>
    </row>
    <row r="395" ht="15.75" customHeight="1">
      <c r="A395" s="4"/>
      <c r="B395" s="4"/>
      <c r="C395" s="4"/>
      <c r="D395" s="4"/>
      <c r="E395" s="4"/>
      <c r="F395" s="4"/>
      <c r="G395" s="4"/>
      <c r="H395" s="4"/>
      <c r="I395" s="4"/>
    </row>
    <row r="396" ht="15.75" customHeight="1">
      <c r="A396" s="4"/>
      <c r="B396" s="4"/>
      <c r="C396" s="4"/>
      <c r="D396" s="4"/>
      <c r="E396" s="4"/>
      <c r="F396" s="4"/>
      <c r="G396" s="4"/>
      <c r="H396" s="4"/>
      <c r="I396" s="4"/>
    </row>
    <row r="397" ht="15.75" customHeight="1">
      <c r="A397" s="4"/>
      <c r="B397" s="4"/>
      <c r="C397" s="4"/>
      <c r="D397" s="4"/>
      <c r="E397" s="4"/>
      <c r="F397" s="4"/>
      <c r="G397" s="4"/>
      <c r="H397" s="4"/>
      <c r="I397" s="4"/>
    </row>
    <row r="398" ht="15.75" customHeight="1">
      <c r="A398" s="4"/>
      <c r="B398" s="4"/>
      <c r="C398" s="4"/>
      <c r="D398" s="4"/>
      <c r="E398" s="4"/>
      <c r="F398" s="4"/>
      <c r="G398" s="4"/>
      <c r="H398" s="4"/>
      <c r="I398" s="4"/>
    </row>
    <row r="399" ht="15.75" customHeight="1">
      <c r="A399" s="4"/>
      <c r="B399" s="4"/>
      <c r="C399" s="4"/>
      <c r="D399" s="4"/>
      <c r="E399" s="4"/>
      <c r="F399" s="4"/>
      <c r="G399" s="4"/>
      <c r="H399" s="4"/>
      <c r="I399" s="4"/>
    </row>
    <row r="400" ht="15.75" customHeight="1">
      <c r="A400" s="4"/>
      <c r="B400" s="4"/>
      <c r="C400" s="4"/>
      <c r="D400" s="4"/>
      <c r="E400" s="4"/>
      <c r="F400" s="4"/>
      <c r="G400" s="4"/>
      <c r="H400" s="4"/>
      <c r="I400" s="4"/>
    </row>
    <row r="401" ht="15.75" customHeight="1">
      <c r="A401" s="4"/>
      <c r="B401" s="4"/>
      <c r="C401" s="4"/>
      <c r="D401" s="4"/>
      <c r="E401" s="4"/>
      <c r="F401" s="4"/>
      <c r="G401" s="4"/>
      <c r="H401" s="4"/>
      <c r="I401" s="4"/>
    </row>
    <row r="402" ht="15.75" customHeight="1">
      <c r="A402" s="4"/>
      <c r="B402" s="4"/>
      <c r="C402" s="4"/>
      <c r="D402" s="4"/>
      <c r="E402" s="4"/>
      <c r="F402" s="4"/>
      <c r="G402" s="4"/>
      <c r="H402" s="4"/>
      <c r="I402" s="4"/>
    </row>
    <row r="403" ht="15.75" customHeight="1">
      <c r="A403" s="4"/>
      <c r="B403" s="4"/>
      <c r="C403" s="4"/>
      <c r="D403" s="4"/>
      <c r="E403" s="4"/>
      <c r="F403" s="4"/>
      <c r="G403" s="4"/>
      <c r="H403" s="4"/>
      <c r="I403" s="4"/>
    </row>
    <row r="404" ht="15.75" customHeight="1">
      <c r="A404" s="4"/>
      <c r="B404" s="4"/>
      <c r="C404" s="4"/>
      <c r="D404" s="4"/>
      <c r="E404" s="4"/>
      <c r="F404" s="4"/>
      <c r="G404" s="4"/>
      <c r="H404" s="4"/>
      <c r="I404" s="4"/>
    </row>
    <row r="405" ht="15.75" customHeight="1">
      <c r="A405" s="4"/>
      <c r="B405" s="4"/>
      <c r="C405" s="4"/>
      <c r="D405" s="4"/>
      <c r="E405" s="4"/>
      <c r="F405" s="4"/>
      <c r="G405" s="4"/>
      <c r="H405" s="4"/>
      <c r="I405" s="4"/>
    </row>
    <row r="406" ht="15.75" customHeight="1">
      <c r="A406" s="4"/>
      <c r="B406" s="4"/>
      <c r="C406" s="4"/>
      <c r="D406" s="4"/>
      <c r="E406" s="4"/>
      <c r="F406" s="4"/>
      <c r="G406" s="4"/>
      <c r="H406" s="4"/>
      <c r="I406" s="4"/>
    </row>
    <row r="407" ht="15.75" customHeight="1">
      <c r="A407" s="4"/>
      <c r="B407" s="4"/>
      <c r="C407" s="4"/>
      <c r="D407" s="4"/>
      <c r="E407" s="4"/>
      <c r="F407" s="4"/>
      <c r="G407" s="4"/>
      <c r="H407" s="4"/>
      <c r="I407" s="4"/>
    </row>
    <row r="408" ht="15.75" customHeight="1">
      <c r="A408" s="4"/>
      <c r="B408" s="4"/>
      <c r="C408" s="4"/>
      <c r="D408" s="4"/>
      <c r="E408" s="4"/>
      <c r="F408" s="4"/>
      <c r="G408" s="4"/>
      <c r="H408" s="4"/>
      <c r="I408" s="4"/>
    </row>
    <row r="409" ht="15.75" customHeight="1">
      <c r="A409" s="4"/>
      <c r="B409" s="4"/>
      <c r="C409" s="4"/>
      <c r="D409" s="4"/>
      <c r="E409" s="4"/>
      <c r="F409" s="4"/>
      <c r="G409" s="4"/>
      <c r="H409" s="4"/>
      <c r="I409" s="4"/>
    </row>
    <row r="410" ht="15.75" customHeight="1">
      <c r="A410" s="4"/>
      <c r="B410" s="4"/>
      <c r="C410" s="4"/>
      <c r="D410" s="4"/>
      <c r="E410" s="4"/>
      <c r="F410" s="4"/>
      <c r="G410" s="4"/>
      <c r="H410" s="4"/>
      <c r="I410" s="4"/>
    </row>
    <row r="411" ht="15.75" customHeight="1">
      <c r="A411" s="4"/>
      <c r="B411" s="4"/>
      <c r="C411" s="4"/>
      <c r="D411" s="4"/>
      <c r="E411" s="4"/>
      <c r="F411" s="4"/>
      <c r="G411" s="4"/>
      <c r="H411" s="4"/>
      <c r="I411" s="4"/>
    </row>
    <row r="412" ht="15.75" customHeight="1">
      <c r="A412" s="4"/>
      <c r="B412" s="4"/>
      <c r="C412" s="4"/>
      <c r="D412" s="4"/>
      <c r="E412" s="4"/>
      <c r="F412" s="4"/>
      <c r="G412" s="4"/>
      <c r="H412" s="4"/>
      <c r="I412" s="4"/>
    </row>
    <row r="413" ht="15.75" customHeight="1">
      <c r="A413" s="4"/>
      <c r="B413" s="4"/>
      <c r="C413" s="4"/>
      <c r="D413" s="4"/>
      <c r="E413" s="4"/>
      <c r="F413" s="4"/>
      <c r="G413" s="4"/>
      <c r="H413" s="4"/>
      <c r="I413" s="4"/>
    </row>
    <row r="414" ht="15.75" customHeight="1">
      <c r="A414" s="4"/>
      <c r="B414" s="4"/>
      <c r="C414" s="4"/>
      <c r="D414" s="4"/>
      <c r="E414" s="4"/>
      <c r="F414" s="4"/>
      <c r="G414" s="4"/>
      <c r="H414" s="4"/>
      <c r="I414" s="4"/>
    </row>
    <row r="415" ht="15.75" customHeight="1">
      <c r="A415" s="4"/>
      <c r="B415" s="4"/>
      <c r="C415" s="4"/>
      <c r="D415" s="4"/>
      <c r="E415" s="4"/>
      <c r="F415" s="4"/>
      <c r="G415" s="4"/>
      <c r="H415" s="4"/>
      <c r="I415" s="4"/>
    </row>
    <row r="416" ht="15.75" customHeight="1">
      <c r="A416" s="4"/>
      <c r="B416" s="4"/>
      <c r="C416" s="4"/>
      <c r="D416" s="4"/>
      <c r="E416" s="4"/>
      <c r="F416" s="4"/>
      <c r="G416" s="4"/>
      <c r="H416" s="4"/>
      <c r="I416" s="4"/>
    </row>
    <row r="417" ht="15.75" customHeight="1">
      <c r="A417" s="4"/>
      <c r="B417" s="4"/>
      <c r="C417" s="4"/>
      <c r="D417" s="4"/>
      <c r="E417" s="4"/>
      <c r="F417" s="4"/>
      <c r="G417" s="4"/>
      <c r="H417" s="4"/>
      <c r="I417" s="4"/>
    </row>
    <row r="418" ht="15.75" customHeight="1">
      <c r="A418" s="4"/>
      <c r="B418" s="4"/>
      <c r="C418" s="4"/>
      <c r="D418" s="4"/>
      <c r="E418" s="4"/>
      <c r="F418" s="4"/>
      <c r="G418" s="4"/>
      <c r="H418" s="4"/>
      <c r="I418" s="4"/>
    </row>
    <row r="419" ht="15.75" customHeight="1">
      <c r="A419" s="4"/>
      <c r="B419" s="4"/>
      <c r="C419" s="4"/>
      <c r="D419" s="4"/>
      <c r="E419" s="4"/>
      <c r="F419" s="4"/>
      <c r="G419" s="4"/>
      <c r="H419" s="4"/>
      <c r="I419" s="4"/>
    </row>
    <row r="420" ht="15.75" customHeight="1">
      <c r="A420" s="4"/>
      <c r="B420" s="4"/>
      <c r="C420" s="4"/>
      <c r="D420" s="4"/>
      <c r="E420" s="4"/>
      <c r="F420" s="4"/>
      <c r="G420" s="4"/>
      <c r="H420" s="4"/>
      <c r="I420" s="4"/>
    </row>
    <row r="421" ht="15.75" customHeight="1">
      <c r="A421" s="4"/>
      <c r="B421" s="4"/>
      <c r="C421" s="4"/>
      <c r="D421" s="4"/>
      <c r="E421" s="4"/>
      <c r="F421" s="4"/>
      <c r="G421" s="4"/>
      <c r="H421" s="4"/>
      <c r="I421" s="4"/>
    </row>
    <row r="422" ht="15.75" customHeight="1">
      <c r="A422" s="4"/>
      <c r="B422" s="4"/>
      <c r="C422" s="4"/>
      <c r="D422" s="4"/>
      <c r="E422" s="4"/>
      <c r="F422" s="4"/>
      <c r="G422" s="4"/>
      <c r="H422" s="4"/>
      <c r="I422" s="4"/>
    </row>
    <row r="423" ht="15.75" customHeight="1">
      <c r="A423" s="4"/>
      <c r="B423" s="4"/>
      <c r="C423" s="4"/>
      <c r="D423" s="4"/>
      <c r="E423" s="4"/>
      <c r="F423" s="4"/>
      <c r="G423" s="4"/>
      <c r="H423" s="4"/>
      <c r="I423" s="4"/>
    </row>
    <row r="424" ht="15.75" customHeight="1">
      <c r="A424" s="4"/>
      <c r="B424" s="4"/>
      <c r="C424" s="4"/>
      <c r="D424" s="4"/>
      <c r="E424" s="4"/>
      <c r="F424" s="4"/>
      <c r="G424" s="4"/>
      <c r="H424" s="4"/>
      <c r="I424" s="4"/>
    </row>
    <row r="425" ht="15.75" customHeight="1">
      <c r="A425" s="4"/>
      <c r="B425" s="4"/>
      <c r="C425" s="4"/>
      <c r="D425" s="4"/>
      <c r="E425" s="4"/>
      <c r="F425" s="4"/>
      <c r="G425" s="4"/>
      <c r="H425" s="4"/>
      <c r="I425" s="4"/>
    </row>
    <row r="426" ht="15.75" customHeight="1">
      <c r="A426" s="4"/>
      <c r="B426" s="4"/>
      <c r="C426" s="4"/>
      <c r="D426" s="4"/>
      <c r="E426" s="4"/>
      <c r="F426" s="4"/>
      <c r="G426" s="4"/>
      <c r="H426" s="4"/>
      <c r="I426" s="4"/>
    </row>
    <row r="427" ht="15.75" customHeight="1">
      <c r="A427" s="4"/>
      <c r="B427" s="4"/>
      <c r="C427" s="4"/>
      <c r="D427" s="4"/>
      <c r="E427" s="4"/>
      <c r="F427" s="4"/>
      <c r="G427" s="4"/>
      <c r="H427" s="4"/>
      <c r="I427" s="4"/>
    </row>
    <row r="428" ht="15.75" customHeight="1">
      <c r="A428" s="4"/>
      <c r="B428" s="4"/>
      <c r="C428" s="4"/>
      <c r="D428" s="4"/>
      <c r="E428" s="4"/>
      <c r="F428" s="4"/>
      <c r="G428" s="4"/>
      <c r="H428" s="4"/>
      <c r="I428" s="4"/>
    </row>
    <row r="429" ht="15.75" customHeight="1">
      <c r="A429" s="4"/>
      <c r="B429" s="4"/>
      <c r="C429" s="4"/>
      <c r="D429" s="4"/>
      <c r="E429" s="4"/>
      <c r="F429" s="4"/>
      <c r="G429" s="4"/>
      <c r="H429" s="4"/>
      <c r="I429" s="4"/>
    </row>
    <row r="430" ht="15.75" customHeight="1">
      <c r="A430" s="4"/>
      <c r="B430" s="4"/>
      <c r="C430" s="4"/>
      <c r="D430" s="4"/>
      <c r="E430" s="4"/>
      <c r="F430" s="4"/>
      <c r="G430" s="4"/>
      <c r="H430" s="4"/>
      <c r="I430" s="4"/>
    </row>
    <row r="431" ht="15.75" customHeight="1">
      <c r="A431" s="4"/>
      <c r="B431" s="4"/>
      <c r="C431" s="4"/>
      <c r="D431" s="4"/>
      <c r="E431" s="4"/>
      <c r="F431" s="4"/>
      <c r="G431" s="4"/>
      <c r="H431" s="4"/>
      <c r="I431" s="4"/>
    </row>
    <row r="432" ht="15.75" customHeight="1">
      <c r="A432" s="4"/>
      <c r="B432" s="4"/>
      <c r="C432" s="4"/>
      <c r="D432" s="4"/>
      <c r="E432" s="4"/>
      <c r="F432" s="4"/>
      <c r="G432" s="4"/>
      <c r="H432" s="4"/>
      <c r="I432" s="4"/>
    </row>
    <row r="433" ht="15.75" customHeight="1">
      <c r="A433" s="4"/>
      <c r="B433" s="4"/>
      <c r="C433" s="4"/>
      <c r="D433" s="4"/>
      <c r="E433" s="4"/>
      <c r="F433" s="4"/>
      <c r="G433" s="4"/>
      <c r="H433" s="4"/>
      <c r="I433" s="4"/>
    </row>
    <row r="434" ht="15.75" customHeight="1">
      <c r="A434" s="4"/>
      <c r="B434" s="4"/>
      <c r="C434" s="4"/>
      <c r="D434" s="4"/>
      <c r="E434" s="4"/>
      <c r="F434" s="4"/>
      <c r="G434" s="4"/>
      <c r="H434" s="4"/>
      <c r="I434" s="4"/>
    </row>
    <row r="435" ht="15.75" customHeight="1">
      <c r="A435" s="4"/>
      <c r="B435" s="4"/>
      <c r="C435" s="4"/>
      <c r="D435" s="4"/>
      <c r="E435" s="4"/>
      <c r="F435" s="4"/>
      <c r="G435" s="4"/>
      <c r="H435" s="4"/>
      <c r="I435" s="4"/>
    </row>
    <row r="436" ht="15.75" customHeight="1">
      <c r="A436" s="4"/>
      <c r="B436" s="4"/>
      <c r="C436" s="4"/>
      <c r="D436" s="4"/>
      <c r="E436" s="4"/>
      <c r="F436" s="4"/>
      <c r="G436" s="4"/>
      <c r="H436" s="4"/>
      <c r="I436" s="4"/>
    </row>
    <row r="437" ht="15.75" customHeight="1">
      <c r="A437" s="4"/>
      <c r="B437" s="4"/>
      <c r="C437" s="4"/>
      <c r="D437" s="4"/>
      <c r="E437" s="4"/>
      <c r="F437" s="4"/>
      <c r="G437" s="4"/>
      <c r="H437" s="4"/>
      <c r="I437" s="4"/>
    </row>
    <row r="438" ht="15.75" customHeight="1">
      <c r="A438" s="4"/>
      <c r="B438" s="4"/>
      <c r="C438" s="4"/>
      <c r="D438" s="4"/>
      <c r="E438" s="4"/>
      <c r="F438" s="4"/>
      <c r="G438" s="4"/>
      <c r="H438" s="4"/>
      <c r="I438" s="4"/>
    </row>
    <row r="439" ht="15.75" customHeight="1">
      <c r="A439" s="4"/>
      <c r="B439" s="4"/>
      <c r="C439" s="4"/>
      <c r="D439" s="4"/>
      <c r="E439" s="4"/>
      <c r="F439" s="4"/>
      <c r="G439" s="4"/>
      <c r="H439" s="4"/>
      <c r="I439" s="4"/>
    </row>
    <row r="440" ht="15.75" customHeight="1">
      <c r="A440" s="4"/>
      <c r="B440" s="4"/>
      <c r="C440" s="4"/>
      <c r="D440" s="4"/>
      <c r="E440" s="4"/>
      <c r="F440" s="4"/>
      <c r="G440" s="4"/>
      <c r="H440" s="4"/>
      <c r="I440" s="4"/>
    </row>
    <row r="441" ht="15.75" customHeight="1">
      <c r="A441" s="4"/>
      <c r="B441" s="4"/>
      <c r="C441" s="4"/>
      <c r="D441" s="4"/>
      <c r="E441" s="4"/>
      <c r="F441" s="4"/>
      <c r="G441" s="4"/>
      <c r="H441" s="4"/>
      <c r="I441" s="4"/>
    </row>
    <row r="442" ht="15.75" customHeight="1">
      <c r="A442" s="4"/>
      <c r="B442" s="4"/>
      <c r="C442" s="4"/>
      <c r="D442" s="4"/>
      <c r="E442" s="4"/>
      <c r="F442" s="4"/>
      <c r="G442" s="4"/>
      <c r="H442" s="4"/>
      <c r="I442" s="4"/>
    </row>
    <row r="443" ht="15.75" customHeight="1">
      <c r="A443" s="4"/>
      <c r="B443" s="4"/>
      <c r="C443" s="4"/>
      <c r="D443" s="4"/>
      <c r="E443" s="4"/>
      <c r="F443" s="4"/>
      <c r="G443" s="4"/>
      <c r="H443" s="4"/>
      <c r="I443" s="4"/>
    </row>
    <row r="444" ht="15.75" customHeight="1">
      <c r="A444" s="4"/>
      <c r="B444" s="4"/>
      <c r="C444" s="4"/>
      <c r="D444" s="4"/>
      <c r="E444" s="4"/>
      <c r="F444" s="4"/>
      <c r="G444" s="4"/>
      <c r="H444" s="4"/>
      <c r="I444" s="4"/>
    </row>
    <row r="445" ht="15.75" customHeight="1">
      <c r="A445" s="4"/>
      <c r="B445" s="4"/>
      <c r="C445" s="4"/>
      <c r="D445" s="4"/>
      <c r="E445" s="4"/>
      <c r="F445" s="4"/>
      <c r="G445" s="4"/>
      <c r="H445" s="4"/>
      <c r="I445" s="4"/>
    </row>
    <row r="446" ht="15.75" customHeight="1">
      <c r="A446" s="4"/>
      <c r="B446" s="4"/>
      <c r="C446" s="4"/>
      <c r="D446" s="4"/>
      <c r="E446" s="4"/>
      <c r="F446" s="4"/>
      <c r="G446" s="4"/>
      <c r="H446" s="4"/>
      <c r="I446" s="4"/>
    </row>
    <row r="447" ht="15.75" customHeight="1">
      <c r="A447" s="4"/>
      <c r="B447" s="4"/>
      <c r="C447" s="4"/>
      <c r="D447" s="4"/>
      <c r="E447" s="4"/>
      <c r="F447" s="4"/>
      <c r="G447" s="4"/>
      <c r="H447" s="4"/>
      <c r="I447" s="4"/>
    </row>
    <row r="448" ht="15.75" customHeight="1">
      <c r="A448" s="4"/>
      <c r="B448" s="4"/>
      <c r="C448" s="4"/>
      <c r="D448" s="4"/>
      <c r="E448" s="4"/>
      <c r="F448" s="4"/>
      <c r="G448" s="4"/>
      <c r="H448" s="4"/>
      <c r="I448" s="4"/>
    </row>
    <row r="449" ht="15.75" customHeight="1">
      <c r="A449" s="4"/>
      <c r="B449" s="4"/>
      <c r="C449" s="4"/>
      <c r="D449" s="4"/>
      <c r="E449" s="4"/>
      <c r="F449" s="4"/>
      <c r="G449" s="4"/>
      <c r="H449" s="4"/>
      <c r="I449" s="4"/>
    </row>
    <row r="450" ht="15.75" customHeight="1">
      <c r="A450" s="4"/>
      <c r="B450" s="4"/>
      <c r="C450" s="4"/>
      <c r="D450" s="4"/>
      <c r="E450" s="4"/>
      <c r="F450" s="4"/>
      <c r="G450" s="4"/>
      <c r="H450" s="4"/>
      <c r="I450" s="4"/>
    </row>
    <row r="451" ht="15.75" customHeight="1">
      <c r="A451" s="4"/>
      <c r="B451" s="4"/>
      <c r="C451" s="4"/>
      <c r="D451" s="4"/>
      <c r="E451" s="4"/>
      <c r="F451" s="4"/>
      <c r="G451" s="4"/>
      <c r="H451" s="4"/>
      <c r="I451" s="4"/>
    </row>
    <row r="452" ht="15.75" customHeight="1">
      <c r="A452" s="4"/>
      <c r="B452" s="4"/>
      <c r="C452" s="4"/>
      <c r="D452" s="4"/>
      <c r="E452" s="4"/>
      <c r="F452" s="4"/>
      <c r="G452" s="4"/>
      <c r="H452" s="4"/>
      <c r="I452" s="4"/>
    </row>
    <row r="453" ht="15.75" customHeight="1">
      <c r="A453" s="4"/>
      <c r="B453" s="4"/>
      <c r="C453" s="4"/>
      <c r="D453" s="4"/>
      <c r="E453" s="4"/>
      <c r="F453" s="4"/>
      <c r="G453" s="4"/>
      <c r="H453" s="4"/>
      <c r="I453" s="4"/>
    </row>
    <row r="454" ht="15.75" customHeight="1">
      <c r="A454" s="4"/>
      <c r="B454" s="4"/>
      <c r="C454" s="4"/>
      <c r="D454" s="4"/>
      <c r="E454" s="4"/>
      <c r="F454" s="4"/>
      <c r="G454" s="4"/>
      <c r="H454" s="4"/>
      <c r="I454" s="4"/>
    </row>
    <row r="455" ht="15.75" customHeight="1">
      <c r="A455" s="4"/>
      <c r="B455" s="4"/>
      <c r="C455" s="4"/>
      <c r="D455" s="4"/>
      <c r="E455" s="4"/>
      <c r="F455" s="4"/>
      <c r="G455" s="4"/>
      <c r="H455" s="4"/>
      <c r="I455" s="4"/>
    </row>
    <row r="456" ht="15.75" customHeight="1">
      <c r="A456" s="4"/>
      <c r="B456" s="4"/>
      <c r="C456" s="4"/>
      <c r="D456" s="4"/>
      <c r="E456" s="4"/>
      <c r="F456" s="4"/>
      <c r="G456" s="4"/>
      <c r="H456" s="4"/>
      <c r="I456" s="4"/>
    </row>
    <row r="457" ht="15.75" customHeight="1">
      <c r="A457" s="4"/>
      <c r="B457" s="4"/>
      <c r="C457" s="4"/>
      <c r="D457" s="4"/>
      <c r="E457" s="4"/>
      <c r="F457" s="4"/>
      <c r="G457" s="4"/>
      <c r="H457" s="4"/>
      <c r="I457" s="4"/>
    </row>
    <row r="458" ht="15.75" customHeight="1">
      <c r="A458" s="4"/>
      <c r="B458" s="4"/>
      <c r="C458" s="4"/>
      <c r="D458" s="4"/>
      <c r="E458" s="4"/>
      <c r="F458" s="4"/>
      <c r="G458" s="4"/>
      <c r="H458" s="4"/>
      <c r="I458" s="4"/>
    </row>
    <row r="459" ht="15.75" customHeight="1">
      <c r="A459" s="4"/>
      <c r="B459" s="4"/>
      <c r="C459" s="4"/>
      <c r="D459" s="4"/>
      <c r="E459" s="4"/>
      <c r="F459" s="4"/>
      <c r="G459" s="4"/>
      <c r="H459" s="4"/>
      <c r="I459" s="4"/>
    </row>
    <row r="460" ht="15.75" customHeight="1">
      <c r="A460" s="4"/>
      <c r="B460" s="4"/>
      <c r="C460" s="4"/>
      <c r="D460" s="4"/>
      <c r="E460" s="4"/>
      <c r="F460" s="4"/>
      <c r="G460" s="4"/>
      <c r="H460" s="4"/>
      <c r="I460" s="4"/>
    </row>
    <row r="461" ht="15.75" customHeight="1">
      <c r="A461" s="4"/>
      <c r="B461" s="4"/>
      <c r="C461" s="4"/>
      <c r="D461" s="4"/>
      <c r="E461" s="4"/>
      <c r="F461" s="4"/>
      <c r="G461" s="4"/>
      <c r="H461" s="4"/>
      <c r="I461" s="4"/>
    </row>
    <row r="462" ht="15.75" customHeight="1">
      <c r="A462" s="4"/>
      <c r="B462" s="4"/>
      <c r="C462" s="4"/>
      <c r="D462" s="4"/>
      <c r="E462" s="4"/>
      <c r="F462" s="4"/>
      <c r="G462" s="4"/>
      <c r="H462" s="4"/>
      <c r="I462" s="4"/>
    </row>
    <row r="463" ht="15.75" customHeight="1">
      <c r="A463" s="4"/>
      <c r="B463" s="4"/>
      <c r="C463" s="4"/>
      <c r="D463" s="4"/>
      <c r="E463" s="4"/>
      <c r="F463" s="4"/>
      <c r="G463" s="4"/>
      <c r="H463" s="4"/>
      <c r="I463" s="4"/>
    </row>
    <row r="464" ht="15.75" customHeight="1">
      <c r="A464" s="4"/>
      <c r="B464" s="4"/>
      <c r="C464" s="4"/>
      <c r="D464" s="4"/>
      <c r="E464" s="4"/>
      <c r="F464" s="4"/>
      <c r="G464" s="4"/>
      <c r="H464" s="4"/>
      <c r="I464" s="4"/>
    </row>
    <row r="465" ht="15.75" customHeight="1">
      <c r="A465" s="4"/>
      <c r="B465" s="4"/>
      <c r="C465" s="4"/>
      <c r="D465" s="4"/>
      <c r="E465" s="4"/>
      <c r="F465" s="4"/>
      <c r="G465" s="4"/>
      <c r="H465" s="4"/>
      <c r="I465" s="4"/>
    </row>
    <row r="466" ht="15.75" customHeight="1">
      <c r="A466" s="4"/>
      <c r="B466" s="4"/>
      <c r="C466" s="4"/>
      <c r="D466" s="4"/>
      <c r="E466" s="4"/>
      <c r="F466" s="4"/>
      <c r="G466" s="4"/>
      <c r="H466" s="4"/>
      <c r="I466" s="4"/>
    </row>
    <row r="467" ht="15.75" customHeight="1">
      <c r="A467" s="4"/>
      <c r="B467" s="4"/>
      <c r="C467" s="4"/>
      <c r="D467" s="4"/>
      <c r="E467" s="4"/>
      <c r="F467" s="4"/>
      <c r="G467" s="4"/>
      <c r="H467" s="4"/>
      <c r="I467" s="4"/>
    </row>
    <row r="468" ht="15.75" customHeight="1">
      <c r="A468" s="4"/>
      <c r="B468" s="4"/>
      <c r="C468" s="4"/>
      <c r="D468" s="4"/>
      <c r="E468" s="4"/>
      <c r="F468" s="4"/>
      <c r="G468" s="4"/>
      <c r="H468" s="4"/>
      <c r="I468" s="4"/>
    </row>
    <row r="469" ht="15.75" customHeight="1">
      <c r="A469" s="4"/>
      <c r="B469" s="4"/>
      <c r="C469" s="4"/>
      <c r="D469" s="4"/>
      <c r="E469" s="4"/>
      <c r="F469" s="4"/>
      <c r="G469" s="4"/>
      <c r="H469" s="4"/>
      <c r="I469" s="4"/>
    </row>
    <row r="470" ht="15.75" customHeight="1">
      <c r="A470" s="4"/>
      <c r="B470" s="4"/>
      <c r="C470" s="4"/>
      <c r="D470" s="4"/>
      <c r="E470" s="4"/>
      <c r="F470" s="4"/>
      <c r="G470" s="4"/>
      <c r="H470" s="4"/>
      <c r="I470" s="4"/>
    </row>
    <row r="471" ht="15.75" customHeight="1">
      <c r="A471" s="4"/>
      <c r="B471" s="4"/>
      <c r="C471" s="4"/>
      <c r="D471" s="4"/>
      <c r="E471" s="4"/>
      <c r="F471" s="4"/>
      <c r="G471" s="4"/>
      <c r="H471" s="4"/>
      <c r="I471" s="4"/>
    </row>
    <row r="472" ht="15.75" customHeight="1">
      <c r="A472" s="4"/>
      <c r="B472" s="4"/>
      <c r="C472" s="4"/>
      <c r="D472" s="4"/>
      <c r="E472" s="4"/>
      <c r="F472" s="4"/>
      <c r="G472" s="4"/>
      <c r="H472" s="4"/>
      <c r="I472" s="4"/>
    </row>
    <row r="473" ht="15.75" customHeight="1">
      <c r="A473" s="4"/>
      <c r="B473" s="4"/>
      <c r="C473" s="4"/>
      <c r="D473" s="4"/>
      <c r="E473" s="4"/>
      <c r="F473" s="4"/>
      <c r="G473" s="4"/>
      <c r="H473" s="4"/>
      <c r="I473" s="4"/>
    </row>
    <row r="474" ht="15.75" customHeight="1">
      <c r="A474" s="4"/>
      <c r="B474" s="4"/>
      <c r="C474" s="4"/>
      <c r="D474" s="4"/>
      <c r="E474" s="4"/>
      <c r="F474" s="4"/>
      <c r="G474" s="4"/>
      <c r="H474" s="4"/>
      <c r="I474" s="4"/>
    </row>
    <row r="475" ht="15.75" customHeight="1">
      <c r="A475" s="4"/>
      <c r="B475" s="4"/>
      <c r="C475" s="4"/>
      <c r="D475" s="4"/>
      <c r="E475" s="4"/>
      <c r="F475" s="4"/>
      <c r="G475" s="4"/>
      <c r="H475" s="4"/>
      <c r="I475" s="4"/>
    </row>
    <row r="476" ht="15.75" customHeight="1">
      <c r="A476" s="4"/>
      <c r="B476" s="4"/>
      <c r="C476" s="4"/>
      <c r="D476" s="4"/>
      <c r="E476" s="4"/>
      <c r="F476" s="4"/>
      <c r="G476" s="4"/>
      <c r="H476" s="4"/>
      <c r="I476" s="4"/>
    </row>
    <row r="477" ht="15.75" customHeight="1">
      <c r="A477" s="4"/>
      <c r="B477" s="4"/>
      <c r="C477" s="4"/>
      <c r="D477" s="4"/>
      <c r="E477" s="4"/>
      <c r="F477" s="4"/>
      <c r="G477" s="4"/>
      <c r="H477" s="4"/>
      <c r="I477" s="4"/>
    </row>
    <row r="478" ht="15.75" customHeight="1">
      <c r="A478" s="4"/>
      <c r="B478" s="4"/>
      <c r="C478" s="4"/>
      <c r="D478" s="4"/>
      <c r="E478" s="4"/>
      <c r="F478" s="4"/>
      <c r="G478" s="4"/>
      <c r="H478" s="4"/>
      <c r="I478" s="4"/>
    </row>
    <row r="479" ht="15.75" customHeight="1">
      <c r="A479" s="4"/>
      <c r="B479" s="4"/>
      <c r="C479" s="4"/>
      <c r="D479" s="4"/>
      <c r="E479" s="4"/>
      <c r="F479" s="4"/>
      <c r="G479" s="4"/>
      <c r="H479" s="4"/>
      <c r="I479" s="4"/>
    </row>
    <row r="480" ht="15.75" customHeight="1">
      <c r="A480" s="4"/>
      <c r="B480" s="4"/>
      <c r="C480" s="4"/>
      <c r="D480" s="4"/>
      <c r="E480" s="4"/>
      <c r="F480" s="4"/>
      <c r="G480" s="4"/>
      <c r="H480" s="4"/>
      <c r="I480" s="4"/>
    </row>
    <row r="481" ht="15.75" customHeight="1">
      <c r="A481" s="4"/>
      <c r="B481" s="4"/>
      <c r="C481" s="4"/>
      <c r="D481" s="4"/>
      <c r="E481" s="4"/>
      <c r="F481" s="4"/>
      <c r="G481" s="4"/>
      <c r="H481" s="4"/>
      <c r="I481" s="4"/>
    </row>
    <row r="482" ht="15.75" customHeight="1">
      <c r="A482" s="4"/>
      <c r="B482" s="4"/>
      <c r="C482" s="4"/>
      <c r="D482" s="4"/>
      <c r="E482" s="4"/>
      <c r="F482" s="4"/>
      <c r="G482" s="4"/>
      <c r="H482" s="4"/>
      <c r="I482" s="4"/>
    </row>
    <row r="483" ht="15.75" customHeight="1">
      <c r="A483" s="4"/>
      <c r="B483" s="4"/>
      <c r="C483" s="4"/>
      <c r="D483" s="4"/>
      <c r="E483" s="4"/>
      <c r="F483" s="4"/>
      <c r="G483" s="4"/>
      <c r="H483" s="4"/>
      <c r="I483" s="4"/>
    </row>
    <row r="484" ht="15.75" customHeight="1">
      <c r="A484" s="4"/>
      <c r="B484" s="4"/>
      <c r="C484" s="4"/>
      <c r="D484" s="4"/>
      <c r="E484" s="4"/>
      <c r="F484" s="4"/>
      <c r="G484" s="4"/>
      <c r="H484" s="4"/>
      <c r="I484" s="4"/>
    </row>
    <row r="485" ht="15.75" customHeight="1">
      <c r="A485" s="4"/>
      <c r="B485" s="4"/>
      <c r="C485" s="4"/>
      <c r="D485" s="4"/>
      <c r="E485" s="4"/>
      <c r="F485" s="4"/>
      <c r="G485" s="4"/>
      <c r="H485" s="4"/>
      <c r="I485" s="4"/>
    </row>
    <row r="486" ht="15.75" customHeight="1">
      <c r="A486" s="4"/>
      <c r="B486" s="4"/>
      <c r="C486" s="4"/>
      <c r="D486" s="4"/>
      <c r="E486" s="4"/>
      <c r="F486" s="4"/>
      <c r="G486" s="4"/>
      <c r="H486" s="4"/>
      <c r="I486" s="4"/>
    </row>
    <row r="487" ht="15.75" customHeight="1">
      <c r="A487" s="4"/>
      <c r="B487" s="4"/>
      <c r="C487" s="4"/>
      <c r="D487" s="4"/>
      <c r="E487" s="4"/>
      <c r="F487" s="4"/>
      <c r="G487" s="4"/>
      <c r="H487" s="4"/>
      <c r="I487" s="4"/>
    </row>
    <row r="488" ht="15.75" customHeight="1">
      <c r="A488" s="4"/>
      <c r="B488" s="4"/>
      <c r="C488" s="4"/>
      <c r="D488" s="4"/>
      <c r="E488" s="4"/>
      <c r="F488" s="4"/>
      <c r="G488" s="4"/>
      <c r="H488" s="4"/>
      <c r="I488" s="4"/>
    </row>
    <row r="489" ht="15.75" customHeight="1">
      <c r="A489" s="4"/>
      <c r="B489" s="4"/>
      <c r="C489" s="4"/>
      <c r="D489" s="4"/>
      <c r="E489" s="4"/>
      <c r="F489" s="4"/>
      <c r="G489" s="4"/>
      <c r="H489" s="4"/>
      <c r="I489" s="4"/>
    </row>
    <row r="490" ht="15.75" customHeight="1">
      <c r="A490" s="4"/>
      <c r="B490" s="4"/>
      <c r="C490" s="4"/>
      <c r="D490" s="4"/>
      <c r="E490" s="4"/>
      <c r="F490" s="4"/>
      <c r="G490" s="4"/>
      <c r="H490" s="4"/>
      <c r="I490" s="4"/>
    </row>
    <row r="491" ht="15.75" customHeight="1">
      <c r="A491" s="4"/>
      <c r="B491" s="4"/>
      <c r="C491" s="4"/>
      <c r="D491" s="4"/>
      <c r="E491" s="4"/>
      <c r="F491" s="4"/>
      <c r="G491" s="4"/>
      <c r="H491" s="4"/>
      <c r="I491" s="4"/>
    </row>
    <row r="492" ht="15.75" customHeight="1">
      <c r="A492" s="4"/>
      <c r="B492" s="4"/>
      <c r="C492" s="4"/>
      <c r="D492" s="4"/>
      <c r="E492" s="4"/>
      <c r="F492" s="4"/>
      <c r="G492" s="4"/>
      <c r="H492" s="4"/>
      <c r="I492" s="4"/>
    </row>
    <row r="493" ht="15.75" customHeight="1">
      <c r="A493" s="4"/>
      <c r="B493" s="4"/>
      <c r="C493" s="4"/>
      <c r="D493" s="4"/>
      <c r="E493" s="4"/>
      <c r="F493" s="4"/>
      <c r="G493" s="4"/>
      <c r="H493" s="4"/>
      <c r="I493" s="4"/>
    </row>
    <row r="494" ht="15.75" customHeight="1">
      <c r="A494" s="4"/>
      <c r="B494" s="4"/>
      <c r="C494" s="4"/>
      <c r="D494" s="4"/>
      <c r="E494" s="4"/>
      <c r="F494" s="4"/>
      <c r="G494" s="4"/>
      <c r="H494" s="4"/>
      <c r="I494" s="4"/>
    </row>
    <row r="495" ht="15.75" customHeight="1">
      <c r="A495" s="4"/>
      <c r="B495" s="4"/>
      <c r="C495" s="4"/>
      <c r="D495" s="4"/>
      <c r="E495" s="4"/>
      <c r="F495" s="4"/>
      <c r="G495" s="4"/>
      <c r="H495" s="4"/>
      <c r="I495" s="4"/>
    </row>
    <row r="496" ht="15.75" customHeight="1">
      <c r="A496" s="4"/>
      <c r="B496" s="4"/>
      <c r="C496" s="4"/>
      <c r="D496" s="4"/>
      <c r="E496" s="4"/>
      <c r="F496" s="4"/>
      <c r="G496" s="4"/>
      <c r="H496" s="4"/>
      <c r="I496" s="4"/>
    </row>
    <row r="497" ht="15.75" customHeight="1">
      <c r="A497" s="4"/>
      <c r="B497" s="4"/>
      <c r="C497" s="4"/>
      <c r="D497" s="4"/>
      <c r="E497" s="4"/>
      <c r="F497" s="4"/>
      <c r="G497" s="4"/>
      <c r="H497" s="4"/>
      <c r="I497" s="4"/>
    </row>
    <row r="498" ht="15.75" customHeight="1">
      <c r="A498" s="4"/>
      <c r="B498" s="4"/>
      <c r="C498" s="4"/>
      <c r="D498" s="4"/>
      <c r="E498" s="4"/>
      <c r="F498" s="4"/>
      <c r="G498" s="4"/>
      <c r="H498" s="4"/>
      <c r="I498" s="4"/>
    </row>
    <row r="499" ht="15.75" customHeight="1">
      <c r="A499" s="4"/>
      <c r="B499" s="4"/>
      <c r="C499" s="4"/>
      <c r="D499" s="4"/>
      <c r="E499" s="4"/>
      <c r="F499" s="4"/>
      <c r="G499" s="4"/>
      <c r="H499" s="4"/>
      <c r="I499" s="4"/>
    </row>
    <row r="500" ht="15.75" customHeight="1">
      <c r="A500" s="4"/>
      <c r="B500" s="4"/>
      <c r="C500" s="4"/>
      <c r="D500" s="4"/>
      <c r="E500" s="4"/>
      <c r="F500" s="4"/>
      <c r="G500" s="4"/>
      <c r="H500" s="4"/>
      <c r="I500" s="4"/>
    </row>
    <row r="501" ht="15.75" customHeight="1">
      <c r="A501" s="4"/>
      <c r="B501" s="4"/>
      <c r="C501" s="4"/>
      <c r="D501" s="4"/>
      <c r="E501" s="4"/>
      <c r="F501" s="4"/>
      <c r="G501" s="4"/>
      <c r="H501" s="4"/>
      <c r="I501" s="4"/>
    </row>
    <row r="502" ht="15.75" customHeight="1">
      <c r="A502" s="4"/>
      <c r="B502" s="4"/>
      <c r="C502" s="4"/>
      <c r="D502" s="4"/>
      <c r="E502" s="4"/>
      <c r="F502" s="4"/>
      <c r="G502" s="4"/>
      <c r="H502" s="4"/>
      <c r="I502" s="4"/>
    </row>
    <row r="503" ht="15.75" customHeight="1">
      <c r="A503" s="4"/>
      <c r="B503" s="4"/>
      <c r="C503" s="4"/>
      <c r="D503" s="4"/>
      <c r="E503" s="4"/>
      <c r="F503" s="4"/>
      <c r="G503" s="4"/>
      <c r="H503" s="4"/>
      <c r="I503" s="4"/>
    </row>
    <row r="504" ht="15.75" customHeight="1">
      <c r="A504" s="4"/>
      <c r="B504" s="4"/>
      <c r="C504" s="4"/>
      <c r="D504" s="4"/>
      <c r="E504" s="4"/>
      <c r="F504" s="4"/>
      <c r="G504" s="4"/>
      <c r="H504" s="4"/>
      <c r="I504" s="4"/>
    </row>
    <row r="505" ht="15.75" customHeight="1">
      <c r="A505" s="4"/>
      <c r="B505" s="4"/>
      <c r="C505" s="4"/>
      <c r="D505" s="4"/>
      <c r="E505" s="4"/>
      <c r="F505" s="4"/>
      <c r="G505" s="4"/>
      <c r="H505" s="4"/>
      <c r="I505" s="4"/>
    </row>
    <row r="506" ht="15.75" customHeight="1">
      <c r="A506" s="4"/>
      <c r="B506" s="4"/>
      <c r="C506" s="4"/>
      <c r="D506" s="4"/>
      <c r="E506" s="4"/>
      <c r="F506" s="4"/>
      <c r="G506" s="4"/>
      <c r="H506" s="4"/>
      <c r="I506" s="4"/>
    </row>
    <row r="507" ht="15.75" customHeight="1">
      <c r="A507" s="4"/>
      <c r="B507" s="4"/>
      <c r="C507" s="4"/>
      <c r="D507" s="4"/>
      <c r="E507" s="4"/>
      <c r="F507" s="4"/>
      <c r="G507" s="4"/>
      <c r="H507" s="4"/>
      <c r="I507" s="4"/>
    </row>
    <row r="508" ht="15.75" customHeight="1">
      <c r="A508" s="4"/>
      <c r="B508" s="4"/>
      <c r="C508" s="4"/>
      <c r="D508" s="4"/>
      <c r="E508" s="4"/>
      <c r="F508" s="4"/>
      <c r="G508" s="4"/>
      <c r="H508" s="4"/>
      <c r="I508" s="4"/>
    </row>
    <row r="509" ht="15.75" customHeight="1">
      <c r="A509" s="4"/>
      <c r="B509" s="4"/>
      <c r="C509" s="4"/>
      <c r="D509" s="4"/>
      <c r="E509" s="4"/>
      <c r="F509" s="4"/>
      <c r="G509" s="4"/>
      <c r="H509" s="4"/>
      <c r="I509" s="4"/>
    </row>
    <row r="510" ht="15.75" customHeight="1">
      <c r="A510" s="4"/>
      <c r="B510" s="4"/>
      <c r="C510" s="4"/>
      <c r="D510" s="4"/>
      <c r="E510" s="4"/>
      <c r="F510" s="4"/>
      <c r="G510" s="4"/>
      <c r="H510" s="4"/>
      <c r="I510" s="4"/>
    </row>
    <row r="511" ht="15.75" customHeight="1">
      <c r="A511" s="4"/>
      <c r="B511" s="4"/>
      <c r="C511" s="4"/>
      <c r="D511" s="4"/>
      <c r="E511" s="4"/>
      <c r="F511" s="4"/>
      <c r="G511" s="4"/>
      <c r="H511" s="4"/>
      <c r="I511" s="4"/>
    </row>
    <row r="512" ht="15.75" customHeight="1">
      <c r="A512" s="4"/>
      <c r="B512" s="4"/>
      <c r="C512" s="4"/>
      <c r="D512" s="4"/>
      <c r="E512" s="4"/>
      <c r="F512" s="4"/>
      <c r="G512" s="4"/>
      <c r="H512" s="4"/>
      <c r="I512" s="4"/>
    </row>
    <row r="513" ht="15.75" customHeight="1">
      <c r="A513" s="4"/>
      <c r="B513" s="4"/>
      <c r="C513" s="4"/>
      <c r="D513" s="4"/>
      <c r="E513" s="4"/>
      <c r="F513" s="4"/>
      <c r="G513" s="4"/>
      <c r="H513" s="4"/>
      <c r="I513" s="4"/>
    </row>
    <row r="514" ht="15.75" customHeight="1">
      <c r="A514" s="4"/>
      <c r="B514" s="4"/>
      <c r="C514" s="4"/>
      <c r="D514" s="4"/>
      <c r="E514" s="4"/>
      <c r="F514" s="4"/>
      <c r="G514" s="4"/>
      <c r="H514" s="4"/>
      <c r="I514" s="4"/>
    </row>
    <row r="515" ht="15.75" customHeight="1">
      <c r="A515" s="4"/>
      <c r="B515" s="4"/>
      <c r="C515" s="4"/>
      <c r="D515" s="4"/>
      <c r="E515" s="4"/>
      <c r="F515" s="4"/>
      <c r="G515" s="4"/>
      <c r="H515" s="4"/>
      <c r="I515" s="4"/>
    </row>
    <row r="516" ht="15.75" customHeight="1">
      <c r="A516" s="4"/>
      <c r="B516" s="4"/>
      <c r="C516" s="4"/>
      <c r="D516" s="4"/>
      <c r="E516" s="4"/>
      <c r="F516" s="4"/>
      <c r="G516" s="4"/>
      <c r="H516" s="4"/>
      <c r="I516" s="4"/>
    </row>
    <row r="517" ht="15.75" customHeight="1">
      <c r="A517" s="4"/>
      <c r="B517" s="4"/>
      <c r="C517" s="4"/>
      <c r="D517" s="4"/>
      <c r="E517" s="4"/>
      <c r="F517" s="4"/>
      <c r="G517" s="4"/>
      <c r="H517" s="4"/>
      <c r="I517" s="4"/>
    </row>
    <row r="518" ht="15.75" customHeight="1">
      <c r="A518" s="4"/>
      <c r="B518" s="4"/>
      <c r="C518" s="4"/>
      <c r="D518" s="4"/>
      <c r="E518" s="4"/>
      <c r="F518" s="4"/>
      <c r="G518" s="4"/>
      <c r="H518" s="4"/>
      <c r="I518" s="4"/>
    </row>
    <row r="519" ht="15.75" customHeight="1">
      <c r="A519" s="4"/>
      <c r="B519" s="4"/>
      <c r="C519" s="4"/>
      <c r="D519" s="4"/>
      <c r="E519" s="4"/>
      <c r="F519" s="4"/>
      <c r="G519" s="4"/>
      <c r="H519" s="4"/>
      <c r="I519" s="4"/>
    </row>
    <row r="520" ht="15.75" customHeight="1">
      <c r="A520" s="4"/>
      <c r="B520" s="4"/>
      <c r="C520" s="4"/>
      <c r="D520" s="4"/>
      <c r="E520" s="4"/>
      <c r="F520" s="4"/>
      <c r="G520" s="4"/>
      <c r="H520" s="4"/>
      <c r="I520" s="4"/>
    </row>
    <row r="521" ht="15.75" customHeight="1">
      <c r="A521" s="4"/>
      <c r="B521" s="4"/>
      <c r="C521" s="4"/>
      <c r="D521" s="4"/>
      <c r="E521" s="4"/>
      <c r="F521" s="4"/>
      <c r="G521" s="4"/>
      <c r="H521" s="4"/>
      <c r="I521" s="4"/>
    </row>
    <row r="522" ht="15.75" customHeight="1">
      <c r="A522" s="4"/>
      <c r="B522" s="4"/>
      <c r="C522" s="4"/>
      <c r="D522" s="4"/>
      <c r="E522" s="4"/>
      <c r="F522" s="4"/>
      <c r="G522" s="4"/>
      <c r="H522" s="4"/>
      <c r="I522" s="4"/>
    </row>
    <row r="523" ht="15.75" customHeight="1">
      <c r="A523" s="4"/>
      <c r="B523" s="4"/>
      <c r="C523" s="4"/>
      <c r="D523" s="4"/>
      <c r="E523" s="4"/>
      <c r="F523" s="4"/>
      <c r="G523" s="4"/>
      <c r="H523" s="4"/>
      <c r="I523" s="4"/>
    </row>
    <row r="524" ht="15.75" customHeight="1">
      <c r="A524" s="4"/>
      <c r="B524" s="4"/>
      <c r="C524" s="4"/>
      <c r="D524" s="4"/>
      <c r="E524" s="4"/>
      <c r="F524" s="4"/>
      <c r="G524" s="4"/>
      <c r="H524" s="4"/>
      <c r="I524" s="4"/>
    </row>
    <row r="525" ht="15.75" customHeight="1">
      <c r="A525" s="4"/>
      <c r="B525" s="4"/>
      <c r="C525" s="4"/>
      <c r="D525" s="4"/>
      <c r="E525" s="4"/>
      <c r="F525" s="4"/>
      <c r="G525" s="4"/>
      <c r="H525" s="4"/>
      <c r="I525" s="4"/>
    </row>
    <row r="526" ht="15.75" customHeight="1">
      <c r="A526" s="4"/>
      <c r="B526" s="4"/>
      <c r="C526" s="4"/>
      <c r="D526" s="4"/>
      <c r="E526" s="4"/>
      <c r="F526" s="4"/>
      <c r="G526" s="4"/>
      <c r="H526" s="4"/>
      <c r="I526" s="4"/>
    </row>
    <row r="527" ht="15.75" customHeight="1">
      <c r="A527" s="4"/>
      <c r="B527" s="4"/>
      <c r="C527" s="4"/>
      <c r="D527" s="4"/>
      <c r="E527" s="4"/>
      <c r="F527" s="4"/>
      <c r="G527" s="4"/>
      <c r="H527" s="4"/>
      <c r="I527" s="4"/>
    </row>
    <row r="528" ht="15.75" customHeight="1">
      <c r="A528" s="4"/>
      <c r="B528" s="4"/>
      <c r="C528" s="4"/>
      <c r="D528" s="4"/>
      <c r="E528" s="4"/>
      <c r="F528" s="4"/>
      <c r="G528" s="4"/>
      <c r="H528" s="4"/>
      <c r="I528" s="4"/>
    </row>
    <row r="529" ht="15.75" customHeight="1">
      <c r="A529" s="4"/>
      <c r="B529" s="4"/>
      <c r="C529" s="4"/>
      <c r="D529" s="4"/>
      <c r="E529" s="4"/>
      <c r="F529" s="4"/>
      <c r="G529" s="4"/>
      <c r="H529" s="4"/>
      <c r="I529" s="4"/>
    </row>
    <row r="530" ht="15.75" customHeight="1">
      <c r="A530" s="4"/>
      <c r="B530" s="4"/>
      <c r="C530" s="4"/>
      <c r="D530" s="4"/>
      <c r="E530" s="4"/>
      <c r="F530" s="4"/>
      <c r="G530" s="4"/>
      <c r="H530" s="4"/>
      <c r="I530" s="4"/>
    </row>
    <row r="531" ht="15.75" customHeight="1">
      <c r="A531" s="4"/>
      <c r="B531" s="4"/>
      <c r="C531" s="4"/>
      <c r="D531" s="4"/>
      <c r="E531" s="4"/>
      <c r="F531" s="4"/>
      <c r="G531" s="4"/>
      <c r="H531" s="4"/>
      <c r="I531" s="4"/>
    </row>
    <row r="532" ht="15.75" customHeight="1">
      <c r="A532" s="4"/>
      <c r="B532" s="4"/>
      <c r="C532" s="4"/>
      <c r="D532" s="4"/>
      <c r="E532" s="4"/>
      <c r="F532" s="4"/>
      <c r="G532" s="4"/>
      <c r="H532" s="4"/>
      <c r="I532" s="4"/>
    </row>
    <row r="533" ht="15.75" customHeight="1">
      <c r="A533" s="4"/>
      <c r="B533" s="4"/>
      <c r="C533" s="4"/>
      <c r="D533" s="4"/>
      <c r="E533" s="4"/>
      <c r="F533" s="4"/>
      <c r="G533" s="4"/>
      <c r="H533" s="4"/>
      <c r="I533" s="4"/>
    </row>
    <row r="534" ht="15.75" customHeight="1">
      <c r="A534" s="4"/>
      <c r="B534" s="4"/>
      <c r="C534" s="4"/>
      <c r="D534" s="4"/>
      <c r="E534" s="4"/>
      <c r="F534" s="4"/>
      <c r="G534" s="4"/>
      <c r="H534" s="4"/>
      <c r="I534" s="4"/>
    </row>
    <row r="535" ht="15.75" customHeight="1">
      <c r="A535" s="4"/>
      <c r="B535" s="4"/>
      <c r="C535" s="4"/>
      <c r="D535" s="4"/>
      <c r="E535" s="4"/>
      <c r="F535" s="4"/>
      <c r="G535" s="4"/>
      <c r="H535" s="4"/>
      <c r="I535" s="4"/>
    </row>
    <row r="536" ht="15.75" customHeight="1">
      <c r="A536" s="4"/>
      <c r="B536" s="4"/>
      <c r="C536" s="4"/>
      <c r="D536" s="4"/>
      <c r="E536" s="4"/>
      <c r="F536" s="4"/>
      <c r="G536" s="4"/>
      <c r="H536" s="4"/>
      <c r="I536" s="4"/>
    </row>
    <row r="537" ht="15.75" customHeight="1">
      <c r="A537" s="4"/>
      <c r="B537" s="4"/>
      <c r="C537" s="4"/>
      <c r="D537" s="4"/>
      <c r="E537" s="4"/>
      <c r="F537" s="4"/>
      <c r="G537" s="4"/>
      <c r="H537" s="4"/>
      <c r="I537" s="4"/>
    </row>
    <row r="538" ht="15.75" customHeight="1">
      <c r="A538" s="4"/>
      <c r="B538" s="4"/>
      <c r="C538" s="4"/>
      <c r="D538" s="4"/>
      <c r="E538" s="4"/>
      <c r="F538" s="4"/>
      <c r="G538" s="4"/>
      <c r="H538" s="4"/>
      <c r="I538" s="4"/>
    </row>
    <row r="539" ht="15.75" customHeight="1">
      <c r="A539" s="4"/>
      <c r="B539" s="4"/>
      <c r="C539" s="4"/>
      <c r="D539" s="4"/>
      <c r="E539" s="4"/>
      <c r="F539" s="4"/>
      <c r="G539" s="4"/>
      <c r="H539" s="4"/>
      <c r="I539" s="4"/>
    </row>
    <row r="540" ht="15.75" customHeight="1">
      <c r="A540" s="4"/>
      <c r="B540" s="4"/>
      <c r="C540" s="4"/>
      <c r="D540" s="4"/>
      <c r="E540" s="4"/>
      <c r="F540" s="4"/>
      <c r="G540" s="4"/>
      <c r="H540" s="4"/>
      <c r="I540" s="4"/>
    </row>
    <row r="541" ht="15.75" customHeight="1">
      <c r="A541" s="4"/>
      <c r="B541" s="4"/>
      <c r="C541" s="4"/>
      <c r="D541" s="4"/>
      <c r="E541" s="4"/>
      <c r="F541" s="4"/>
      <c r="G541" s="4"/>
      <c r="H541" s="4"/>
      <c r="I541" s="4"/>
    </row>
    <row r="542" ht="15.75" customHeight="1">
      <c r="A542" s="4"/>
      <c r="B542" s="4"/>
      <c r="C542" s="4"/>
      <c r="D542" s="4"/>
      <c r="E542" s="4"/>
      <c r="F542" s="4"/>
      <c r="G542" s="4"/>
      <c r="H542" s="4"/>
      <c r="I542" s="4"/>
    </row>
    <row r="543" ht="15.75" customHeight="1">
      <c r="A543" s="4"/>
      <c r="B543" s="4"/>
      <c r="C543" s="4"/>
      <c r="D543" s="4"/>
      <c r="E543" s="4"/>
      <c r="F543" s="4"/>
      <c r="G543" s="4"/>
      <c r="H543" s="4"/>
      <c r="I543" s="4"/>
    </row>
    <row r="544" ht="15.75" customHeight="1">
      <c r="A544" s="4"/>
      <c r="B544" s="4"/>
      <c r="C544" s="4"/>
      <c r="D544" s="4"/>
      <c r="E544" s="4"/>
      <c r="F544" s="4"/>
      <c r="G544" s="4"/>
      <c r="H544" s="4"/>
      <c r="I544" s="4"/>
    </row>
    <row r="545" ht="15.75" customHeight="1">
      <c r="A545" s="4"/>
      <c r="B545" s="4"/>
      <c r="C545" s="4"/>
      <c r="D545" s="4"/>
      <c r="E545" s="4"/>
      <c r="F545" s="4"/>
      <c r="G545" s="4"/>
      <c r="H545" s="4"/>
      <c r="I545" s="4"/>
    </row>
    <row r="546" ht="15.75" customHeight="1">
      <c r="A546" s="4"/>
      <c r="B546" s="4"/>
      <c r="C546" s="4"/>
      <c r="D546" s="4"/>
      <c r="E546" s="4"/>
      <c r="F546" s="4"/>
      <c r="G546" s="4"/>
      <c r="H546" s="4"/>
      <c r="I546" s="4"/>
    </row>
    <row r="547" ht="15.75" customHeight="1">
      <c r="A547" s="4"/>
      <c r="B547" s="4"/>
      <c r="C547" s="4"/>
      <c r="D547" s="4"/>
      <c r="E547" s="4"/>
      <c r="F547" s="4"/>
      <c r="G547" s="4"/>
      <c r="H547" s="4"/>
      <c r="I547" s="4"/>
    </row>
    <row r="548" ht="15.75" customHeight="1">
      <c r="A548" s="4"/>
      <c r="B548" s="4"/>
      <c r="C548" s="4"/>
      <c r="D548" s="4"/>
      <c r="E548" s="4"/>
      <c r="F548" s="4"/>
      <c r="G548" s="4"/>
      <c r="H548" s="4"/>
      <c r="I548" s="4"/>
    </row>
    <row r="549" ht="15.75" customHeight="1">
      <c r="A549" s="4"/>
      <c r="B549" s="4"/>
      <c r="C549" s="4"/>
      <c r="D549" s="4"/>
      <c r="E549" s="4"/>
      <c r="F549" s="4"/>
      <c r="G549" s="4"/>
      <c r="H549" s="4"/>
      <c r="I549" s="4"/>
    </row>
    <row r="550" ht="15.75" customHeight="1">
      <c r="A550" s="4"/>
      <c r="B550" s="4"/>
      <c r="C550" s="4"/>
      <c r="D550" s="4"/>
      <c r="E550" s="4"/>
      <c r="F550" s="4"/>
      <c r="G550" s="4"/>
      <c r="H550" s="4"/>
      <c r="I550" s="4"/>
    </row>
    <row r="551" ht="15.75" customHeight="1">
      <c r="A551" s="4"/>
      <c r="B551" s="4"/>
      <c r="C551" s="4"/>
      <c r="D551" s="4"/>
      <c r="E551" s="4"/>
      <c r="F551" s="4"/>
      <c r="G551" s="4"/>
      <c r="H551" s="4"/>
      <c r="I551" s="4"/>
    </row>
    <row r="552" ht="15.75" customHeight="1">
      <c r="A552" s="4"/>
      <c r="B552" s="4"/>
      <c r="C552" s="4"/>
      <c r="D552" s="4"/>
      <c r="E552" s="4"/>
      <c r="F552" s="4"/>
      <c r="G552" s="4"/>
      <c r="H552" s="4"/>
      <c r="I552" s="4"/>
    </row>
    <row r="553" ht="15.75" customHeight="1">
      <c r="A553" s="4"/>
      <c r="B553" s="4"/>
      <c r="C553" s="4"/>
      <c r="D553" s="4"/>
      <c r="E553" s="4"/>
      <c r="F553" s="4"/>
      <c r="G553" s="4"/>
      <c r="H553" s="4"/>
      <c r="I553" s="4"/>
    </row>
    <row r="554" ht="15.75" customHeight="1">
      <c r="A554" s="4"/>
      <c r="B554" s="4"/>
      <c r="C554" s="4"/>
      <c r="D554" s="4"/>
      <c r="E554" s="4"/>
      <c r="F554" s="4"/>
      <c r="G554" s="4"/>
      <c r="H554" s="4"/>
      <c r="I554" s="4"/>
    </row>
    <row r="555" ht="15.75" customHeight="1">
      <c r="A555" s="4"/>
      <c r="B555" s="4"/>
      <c r="C555" s="4"/>
      <c r="D555" s="4"/>
      <c r="E555" s="4"/>
      <c r="F555" s="4"/>
      <c r="G555" s="4"/>
      <c r="H555" s="4"/>
      <c r="I555" s="4"/>
    </row>
    <row r="556" ht="15.75" customHeight="1">
      <c r="A556" s="4"/>
      <c r="B556" s="4"/>
      <c r="C556" s="4"/>
      <c r="D556" s="4"/>
      <c r="E556" s="4"/>
      <c r="F556" s="4"/>
      <c r="G556" s="4"/>
      <c r="H556" s="4"/>
      <c r="I556" s="4"/>
    </row>
    <row r="557" ht="15.75" customHeight="1">
      <c r="A557" s="4"/>
      <c r="B557" s="4"/>
      <c r="C557" s="4"/>
      <c r="D557" s="4"/>
      <c r="E557" s="4"/>
      <c r="F557" s="4"/>
      <c r="G557" s="4"/>
      <c r="H557" s="4"/>
      <c r="I557" s="4"/>
    </row>
    <row r="558" ht="15.75" customHeight="1">
      <c r="A558" s="4"/>
      <c r="B558" s="4"/>
      <c r="C558" s="4"/>
      <c r="D558" s="4"/>
      <c r="E558" s="4"/>
      <c r="F558" s="4"/>
      <c r="G558" s="4"/>
      <c r="H558" s="4"/>
      <c r="I558" s="4"/>
    </row>
    <row r="559" ht="15.75" customHeight="1">
      <c r="A559" s="4"/>
      <c r="B559" s="4"/>
      <c r="C559" s="4"/>
      <c r="D559" s="4"/>
      <c r="E559" s="4"/>
      <c r="F559" s="4"/>
      <c r="G559" s="4"/>
      <c r="H559" s="4"/>
      <c r="I559" s="4"/>
    </row>
    <row r="560" ht="15.75" customHeight="1">
      <c r="A560" s="4"/>
      <c r="B560" s="4"/>
      <c r="C560" s="4"/>
      <c r="D560" s="4"/>
      <c r="E560" s="4"/>
      <c r="F560" s="4"/>
      <c r="G560" s="4"/>
      <c r="H560" s="4"/>
      <c r="I560" s="4"/>
    </row>
    <row r="561" ht="15.75" customHeight="1">
      <c r="A561" s="4"/>
      <c r="B561" s="4"/>
      <c r="C561" s="4"/>
      <c r="D561" s="4"/>
      <c r="E561" s="4"/>
      <c r="F561" s="4"/>
      <c r="G561" s="4"/>
      <c r="H561" s="4"/>
      <c r="I561" s="4"/>
    </row>
    <row r="562" ht="15.75" customHeight="1">
      <c r="A562" s="4"/>
      <c r="B562" s="4"/>
      <c r="C562" s="4"/>
      <c r="D562" s="4"/>
      <c r="E562" s="4"/>
      <c r="F562" s="4"/>
      <c r="G562" s="4"/>
      <c r="H562" s="4"/>
      <c r="I562" s="4"/>
    </row>
    <row r="563" ht="15.75" customHeight="1">
      <c r="A563" s="4"/>
      <c r="B563" s="4"/>
      <c r="C563" s="4"/>
      <c r="D563" s="4"/>
      <c r="E563" s="4"/>
      <c r="F563" s="4"/>
      <c r="G563" s="4"/>
      <c r="H563" s="4"/>
      <c r="I563" s="4"/>
    </row>
    <row r="564" ht="15.75" customHeight="1">
      <c r="A564" s="4"/>
      <c r="B564" s="4"/>
      <c r="C564" s="4"/>
      <c r="D564" s="4"/>
      <c r="E564" s="4"/>
      <c r="F564" s="4"/>
      <c r="G564" s="4"/>
      <c r="H564" s="4"/>
      <c r="I564" s="4"/>
    </row>
    <row r="565" ht="15.75" customHeight="1">
      <c r="A565" s="4"/>
      <c r="B565" s="4"/>
      <c r="C565" s="4"/>
      <c r="D565" s="4"/>
      <c r="E565" s="4"/>
      <c r="F565" s="4"/>
      <c r="G565" s="4"/>
      <c r="H565" s="4"/>
      <c r="I565" s="4"/>
    </row>
    <row r="566" ht="15.75" customHeight="1">
      <c r="A566" s="4"/>
      <c r="B566" s="4"/>
      <c r="C566" s="4"/>
      <c r="D566" s="4"/>
      <c r="E566" s="4"/>
      <c r="F566" s="4"/>
      <c r="G566" s="4"/>
      <c r="H566" s="4"/>
      <c r="I566" s="4"/>
    </row>
    <row r="567" ht="15.75" customHeight="1">
      <c r="A567" s="4"/>
      <c r="B567" s="4"/>
      <c r="C567" s="4"/>
      <c r="D567" s="4"/>
      <c r="E567" s="4"/>
      <c r="F567" s="4"/>
      <c r="G567" s="4"/>
      <c r="H567" s="4"/>
      <c r="I567" s="4"/>
    </row>
    <row r="568" ht="15.75" customHeight="1">
      <c r="A568" s="4"/>
      <c r="B568" s="4"/>
      <c r="C568" s="4"/>
      <c r="D568" s="4"/>
      <c r="E568" s="4"/>
      <c r="F568" s="4"/>
      <c r="G568" s="4"/>
      <c r="H568" s="4"/>
      <c r="I568" s="4"/>
    </row>
    <row r="569" ht="15.75" customHeight="1">
      <c r="A569" s="4"/>
      <c r="B569" s="4"/>
      <c r="C569" s="4"/>
      <c r="D569" s="4"/>
      <c r="E569" s="4"/>
      <c r="F569" s="4"/>
      <c r="G569" s="4"/>
      <c r="H569" s="4"/>
      <c r="I569" s="4"/>
    </row>
    <row r="570" ht="15.75" customHeight="1">
      <c r="A570" s="4"/>
      <c r="B570" s="4"/>
      <c r="C570" s="4"/>
      <c r="D570" s="4"/>
      <c r="E570" s="4"/>
      <c r="F570" s="4"/>
      <c r="G570" s="4"/>
      <c r="H570" s="4"/>
      <c r="I570" s="4"/>
    </row>
    <row r="571" ht="15.75" customHeight="1">
      <c r="A571" s="4"/>
      <c r="B571" s="4"/>
      <c r="C571" s="4"/>
      <c r="D571" s="4"/>
      <c r="E571" s="4"/>
      <c r="F571" s="4"/>
      <c r="G571" s="4"/>
      <c r="H571" s="4"/>
      <c r="I571" s="4"/>
    </row>
    <row r="572" ht="15.75" customHeight="1">
      <c r="A572" s="4"/>
      <c r="B572" s="4"/>
      <c r="C572" s="4"/>
      <c r="D572" s="4"/>
      <c r="E572" s="4"/>
      <c r="F572" s="4"/>
      <c r="G572" s="4"/>
      <c r="H572" s="4"/>
      <c r="I572" s="4"/>
    </row>
    <row r="573" ht="15.75" customHeight="1">
      <c r="A573" s="4"/>
      <c r="B573" s="4"/>
      <c r="C573" s="4"/>
      <c r="D573" s="4"/>
      <c r="E573" s="4"/>
      <c r="F573" s="4"/>
      <c r="G573" s="4"/>
      <c r="H573" s="4"/>
      <c r="I573" s="4"/>
    </row>
    <row r="574" ht="15.75" customHeight="1">
      <c r="A574" s="4"/>
      <c r="B574" s="4"/>
      <c r="C574" s="4"/>
      <c r="D574" s="4"/>
      <c r="E574" s="4"/>
      <c r="F574" s="4"/>
      <c r="G574" s="4"/>
      <c r="H574" s="4"/>
      <c r="I574" s="4"/>
    </row>
    <row r="575" ht="15.75" customHeight="1">
      <c r="A575" s="4"/>
      <c r="B575" s="4"/>
      <c r="C575" s="4"/>
      <c r="D575" s="4"/>
      <c r="E575" s="4"/>
      <c r="F575" s="4"/>
      <c r="G575" s="4"/>
      <c r="H575" s="4"/>
      <c r="I575" s="4"/>
    </row>
    <row r="576" ht="15.75" customHeight="1">
      <c r="A576" s="4"/>
      <c r="B576" s="4"/>
      <c r="C576" s="4"/>
      <c r="D576" s="4"/>
      <c r="E576" s="4"/>
      <c r="F576" s="4"/>
      <c r="G576" s="4"/>
      <c r="H576" s="4"/>
      <c r="I576" s="4"/>
    </row>
    <row r="577" ht="15.75" customHeight="1">
      <c r="A577" s="4"/>
      <c r="B577" s="4"/>
      <c r="C577" s="4"/>
      <c r="D577" s="4"/>
      <c r="E577" s="4"/>
      <c r="F577" s="4"/>
      <c r="G577" s="4"/>
      <c r="H577" s="4"/>
      <c r="I577" s="4"/>
    </row>
    <row r="578" ht="15.75" customHeight="1">
      <c r="A578" s="4"/>
      <c r="B578" s="4"/>
      <c r="C578" s="4"/>
      <c r="D578" s="4"/>
      <c r="E578" s="4"/>
      <c r="F578" s="4"/>
      <c r="G578" s="4"/>
      <c r="H578" s="4"/>
      <c r="I578" s="4"/>
    </row>
    <row r="579" ht="15.75" customHeight="1">
      <c r="A579" s="4"/>
      <c r="B579" s="4"/>
      <c r="C579" s="4"/>
      <c r="D579" s="4"/>
      <c r="E579" s="4"/>
      <c r="F579" s="4"/>
      <c r="G579" s="4"/>
      <c r="H579" s="4"/>
      <c r="I579" s="4"/>
    </row>
    <row r="580" ht="15.75" customHeight="1">
      <c r="A580" s="4"/>
      <c r="B580" s="4"/>
      <c r="C580" s="4"/>
      <c r="D580" s="4"/>
      <c r="E580" s="4"/>
      <c r="F580" s="4"/>
      <c r="G580" s="4"/>
      <c r="H580" s="4"/>
      <c r="I580" s="4"/>
    </row>
    <row r="581" ht="15.75" customHeight="1">
      <c r="A581" s="4"/>
      <c r="B581" s="4"/>
      <c r="C581" s="4"/>
      <c r="D581" s="4"/>
      <c r="E581" s="4"/>
      <c r="F581" s="4"/>
      <c r="G581" s="4"/>
      <c r="H581" s="4"/>
      <c r="I581" s="4"/>
    </row>
    <row r="582" ht="15.75" customHeight="1">
      <c r="A582" s="4"/>
      <c r="B582" s="4"/>
      <c r="C582" s="4"/>
      <c r="D582" s="4"/>
      <c r="E582" s="4"/>
      <c r="F582" s="4"/>
      <c r="G582" s="4"/>
      <c r="H582" s="4"/>
      <c r="I582" s="4"/>
    </row>
    <row r="583" ht="15.75" customHeight="1">
      <c r="A583" s="4"/>
      <c r="B583" s="4"/>
      <c r="C583" s="4"/>
      <c r="D583" s="4"/>
      <c r="E583" s="4"/>
      <c r="F583" s="4"/>
      <c r="G583" s="4"/>
      <c r="H583" s="4"/>
      <c r="I583" s="4"/>
    </row>
    <row r="584" ht="15.75" customHeight="1">
      <c r="A584" s="4"/>
      <c r="B584" s="4"/>
      <c r="C584" s="4"/>
      <c r="D584" s="4"/>
      <c r="E584" s="4"/>
      <c r="F584" s="4"/>
      <c r="G584" s="4"/>
      <c r="H584" s="4"/>
      <c r="I584" s="4"/>
    </row>
    <row r="585" ht="15.75" customHeight="1">
      <c r="A585" s="4"/>
      <c r="B585" s="4"/>
      <c r="C585" s="4"/>
      <c r="D585" s="4"/>
      <c r="E585" s="4"/>
      <c r="F585" s="4"/>
      <c r="G585" s="4"/>
      <c r="H585" s="4"/>
      <c r="I585" s="4"/>
    </row>
    <row r="586" ht="15.75" customHeight="1">
      <c r="A586" s="4"/>
      <c r="B586" s="4"/>
      <c r="C586" s="4"/>
      <c r="D586" s="4"/>
      <c r="E586" s="4"/>
      <c r="F586" s="4"/>
      <c r="G586" s="4"/>
      <c r="H586" s="4"/>
      <c r="I586" s="4"/>
    </row>
    <row r="587" ht="15.75" customHeight="1">
      <c r="A587" s="4"/>
      <c r="B587" s="4"/>
      <c r="C587" s="4"/>
      <c r="D587" s="4"/>
      <c r="E587" s="4"/>
      <c r="F587" s="4"/>
      <c r="G587" s="4"/>
      <c r="H587" s="4"/>
      <c r="I587" s="4"/>
    </row>
    <row r="588" ht="15.75" customHeight="1">
      <c r="A588" s="4"/>
      <c r="B588" s="4"/>
      <c r="C588" s="4"/>
      <c r="D588" s="4"/>
      <c r="E588" s="4"/>
      <c r="F588" s="4"/>
      <c r="G588" s="4"/>
      <c r="H588" s="4"/>
      <c r="I588" s="4"/>
    </row>
    <row r="589" ht="15.75" customHeight="1">
      <c r="A589" s="4"/>
      <c r="B589" s="4"/>
      <c r="C589" s="4"/>
      <c r="D589" s="4"/>
      <c r="E589" s="4"/>
      <c r="F589" s="4"/>
      <c r="G589" s="4"/>
      <c r="H589" s="4"/>
      <c r="I589" s="4"/>
    </row>
    <row r="590" ht="15.75" customHeight="1">
      <c r="A590" s="4"/>
      <c r="B590" s="4"/>
      <c r="C590" s="4"/>
      <c r="D590" s="4"/>
      <c r="E590" s="4"/>
      <c r="F590" s="4"/>
      <c r="G590" s="4"/>
      <c r="H590" s="4"/>
      <c r="I590" s="4"/>
    </row>
    <row r="591" ht="15.75" customHeight="1">
      <c r="A591" s="4"/>
      <c r="B591" s="4"/>
      <c r="C591" s="4"/>
      <c r="D591" s="4"/>
      <c r="E591" s="4"/>
      <c r="F591" s="4"/>
      <c r="G591" s="4"/>
      <c r="H591" s="4"/>
      <c r="I591" s="4"/>
    </row>
    <row r="592" ht="15.75" customHeight="1">
      <c r="A592" s="4"/>
      <c r="B592" s="4"/>
      <c r="C592" s="4"/>
      <c r="D592" s="4"/>
      <c r="E592" s="4"/>
      <c r="F592" s="4"/>
      <c r="G592" s="4"/>
      <c r="H592" s="4"/>
      <c r="I592" s="4"/>
    </row>
    <row r="593" ht="15.75" customHeight="1">
      <c r="A593" s="4"/>
      <c r="B593" s="4"/>
      <c r="C593" s="4"/>
      <c r="D593" s="4"/>
      <c r="E593" s="4"/>
      <c r="F593" s="4"/>
      <c r="G593" s="4"/>
      <c r="H593" s="4"/>
      <c r="I593" s="4"/>
    </row>
    <row r="594" ht="15.75" customHeight="1">
      <c r="A594" s="4"/>
      <c r="B594" s="4"/>
      <c r="C594" s="4"/>
      <c r="D594" s="4"/>
      <c r="E594" s="4"/>
      <c r="F594" s="4"/>
      <c r="G594" s="4"/>
      <c r="H594" s="4"/>
      <c r="I594" s="4"/>
    </row>
    <row r="595" ht="15.75" customHeight="1">
      <c r="A595" s="4"/>
      <c r="B595" s="4"/>
      <c r="C595" s="4"/>
      <c r="D595" s="4"/>
      <c r="E595" s="4"/>
      <c r="F595" s="4"/>
      <c r="G595" s="4"/>
      <c r="H595" s="4"/>
      <c r="I595" s="4"/>
    </row>
    <row r="596" ht="15.75" customHeight="1">
      <c r="A596" s="4"/>
      <c r="B596" s="4"/>
      <c r="C596" s="4"/>
      <c r="D596" s="4"/>
      <c r="E596" s="4"/>
      <c r="F596" s="4"/>
      <c r="G596" s="4"/>
      <c r="H596" s="4"/>
      <c r="I596" s="4"/>
    </row>
    <row r="597" ht="15.75" customHeight="1">
      <c r="A597" s="4"/>
      <c r="B597" s="4"/>
      <c r="C597" s="4"/>
      <c r="D597" s="4"/>
      <c r="E597" s="4"/>
      <c r="F597" s="4"/>
      <c r="G597" s="4"/>
      <c r="H597" s="4"/>
      <c r="I597" s="4"/>
    </row>
    <row r="598" ht="15.75" customHeight="1">
      <c r="A598" s="4"/>
      <c r="B598" s="4"/>
      <c r="C598" s="4"/>
      <c r="D598" s="4"/>
      <c r="E598" s="4"/>
      <c r="F598" s="4"/>
      <c r="G598" s="4"/>
      <c r="H598" s="4"/>
      <c r="I598" s="4"/>
    </row>
    <row r="599" ht="15.75" customHeight="1">
      <c r="A599" s="4"/>
      <c r="B599" s="4"/>
      <c r="C599" s="4"/>
      <c r="D599" s="4"/>
      <c r="E599" s="4"/>
      <c r="F599" s="4"/>
      <c r="G599" s="4"/>
      <c r="H599" s="4"/>
      <c r="I599" s="4"/>
    </row>
    <row r="600" ht="15.75" customHeight="1">
      <c r="A600" s="4"/>
      <c r="B600" s="4"/>
      <c r="C600" s="4"/>
      <c r="D600" s="4"/>
      <c r="E600" s="4"/>
      <c r="F600" s="4"/>
      <c r="G600" s="4"/>
      <c r="H600" s="4"/>
      <c r="I600" s="4"/>
    </row>
    <row r="601" ht="15.75" customHeight="1">
      <c r="A601" s="4"/>
      <c r="B601" s="4"/>
      <c r="C601" s="4"/>
      <c r="D601" s="4"/>
      <c r="E601" s="4"/>
      <c r="F601" s="4"/>
      <c r="G601" s="4"/>
      <c r="H601" s="4"/>
      <c r="I601" s="4"/>
    </row>
    <row r="602" ht="15.75" customHeight="1">
      <c r="A602" s="4"/>
      <c r="B602" s="4"/>
      <c r="C602" s="4"/>
      <c r="D602" s="4"/>
      <c r="E602" s="4"/>
      <c r="F602" s="4"/>
      <c r="G602" s="4"/>
      <c r="H602" s="4"/>
      <c r="I602" s="4"/>
    </row>
    <row r="603" ht="15.75" customHeight="1">
      <c r="A603" s="4"/>
      <c r="B603" s="4"/>
      <c r="C603" s="4"/>
      <c r="D603" s="4"/>
      <c r="E603" s="4"/>
      <c r="F603" s="4"/>
      <c r="G603" s="4"/>
      <c r="H603" s="4"/>
      <c r="I603" s="4"/>
    </row>
    <row r="604" ht="15.75" customHeight="1">
      <c r="A604" s="4"/>
      <c r="B604" s="4"/>
      <c r="C604" s="4"/>
      <c r="D604" s="4"/>
      <c r="E604" s="4"/>
      <c r="F604" s="4"/>
      <c r="G604" s="4"/>
      <c r="H604" s="4"/>
      <c r="I604" s="4"/>
    </row>
    <row r="605" ht="15.75" customHeight="1">
      <c r="A605" s="4"/>
      <c r="B605" s="4"/>
      <c r="C605" s="4"/>
      <c r="D605" s="4"/>
      <c r="E605" s="4"/>
      <c r="F605" s="4"/>
      <c r="G605" s="4"/>
      <c r="H605" s="4"/>
      <c r="I605" s="4"/>
    </row>
    <row r="606" ht="15.75" customHeight="1">
      <c r="A606" s="4"/>
      <c r="B606" s="4"/>
      <c r="C606" s="4"/>
      <c r="D606" s="4"/>
      <c r="E606" s="4"/>
      <c r="F606" s="4"/>
      <c r="G606" s="4"/>
      <c r="H606" s="4"/>
      <c r="I606" s="4"/>
    </row>
    <row r="607" ht="15.75" customHeight="1">
      <c r="A607" s="4"/>
      <c r="B607" s="4"/>
      <c r="C607" s="4"/>
      <c r="D607" s="4"/>
      <c r="E607" s="4"/>
      <c r="F607" s="4"/>
      <c r="G607" s="4"/>
      <c r="H607" s="4"/>
      <c r="I607" s="4"/>
    </row>
    <row r="608" ht="15.75" customHeight="1">
      <c r="A608" s="4"/>
      <c r="B608" s="4"/>
      <c r="C608" s="4"/>
      <c r="D608" s="4"/>
      <c r="E608" s="4"/>
      <c r="F608" s="4"/>
      <c r="G608" s="4"/>
      <c r="H608" s="4"/>
      <c r="I608" s="4"/>
    </row>
    <row r="609" ht="15.75" customHeight="1">
      <c r="A609" s="4"/>
      <c r="B609" s="4"/>
      <c r="C609" s="4"/>
      <c r="D609" s="4"/>
      <c r="E609" s="4"/>
      <c r="F609" s="4"/>
      <c r="G609" s="4"/>
      <c r="H609" s="4"/>
      <c r="I609" s="4"/>
    </row>
    <row r="610" ht="15.75" customHeight="1">
      <c r="A610" s="4"/>
      <c r="B610" s="4"/>
      <c r="C610" s="4"/>
      <c r="D610" s="4"/>
      <c r="E610" s="4"/>
      <c r="F610" s="4"/>
      <c r="G610" s="4"/>
      <c r="H610" s="4"/>
      <c r="I610" s="4"/>
    </row>
    <row r="611" ht="15.75" customHeight="1">
      <c r="A611" s="4"/>
      <c r="B611" s="4"/>
      <c r="C611" s="4"/>
      <c r="D611" s="4"/>
      <c r="E611" s="4"/>
      <c r="F611" s="4"/>
      <c r="G611" s="4"/>
      <c r="H611" s="4"/>
      <c r="I611" s="4"/>
    </row>
    <row r="612" ht="15.75" customHeight="1">
      <c r="A612" s="4"/>
      <c r="B612" s="4"/>
      <c r="C612" s="4"/>
      <c r="D612" s="4"/>
      <c r="E612" s="4"/>
      <c r="F612" s="4"/>
      <c r="G612" s="4"/>
      <c r="H612" s="4"/>
      <c r="I612" s="4"/>
    </row>
    <row r="613" ht="15.75" customHeight="1">
      <c r="A613" s="4"/>
      <c r="B613" s="4"/>
      <c r="C613" s="4"/>
      <c r="D613" s="4"/>
      <c r="E613" s="4"/>
      <c r="F613" s="4"/>
      <c r="G613" s="4"/>
      <c r="H613" s="4"/>
      <c r="I613" s="4"/>
    </row>
    <row r="614" ht="15.75" customHeight="1">
      <c r="A614" s="4"/>
      <c r="B614" s="4"/>
      <c r="C614" s="4"/>
      <c r="D614" s="4"/>
      <c r="E614" s="4"/>
      <c r="F614" s="4"/>
      <c r="G614" s="4"/>
      <c r="H614" s="4"/>
      <c r="I614" s="4"/>
    </row>
    <row r="615" ht="15.75" customHeight="1">
      <c r="A615" s="4"/>
      <c r="B615" s="4"/>
      <c r="C615" s="4"/>
      <c r="D615" s="4"/>
      <c r="E615" s="4"/>
      <c r="F615" s="4"/>
      <c r="G615" s="4"/>
      <c r="H615" s="4"/>
      <c r="I615" s="4"/>
    </row>
    <row r="616" ht="15.75" customHeight="1">
      <c r="A616" s="4"/>
      <c r="B616" s="4"/>
      <c r="C616" s="4"/>
      <c r="D616" s="4"/>
      <c r="E616" s="4"/>
      <c r="F616" s="4"/>
      <c r="G616" s="4"/>
      <c r="H616" s="4"/>
      <c r="I616" s="4"/>
    </row>
    <row r="617" ht="15.75" customHeight="1">
      <c r="A617" s="4"/>
      <c r="B617" s="4"/>
      <c r="C617" s="4"/>
      <c r="D617" s="4"/>
      <c r="E617" s="4"/>
      <c r="F617" s="4"/>
      <c r="G617" s="4"/>
      <c r="H617" s="4"/>
      <c r="I617" s="4"/>
    </row>
    <row r="618" ht="15.75" customHeight="1">
      <c r="A618" s="4"/>
      <c r="B618" s="4"/>
      <c r="C618" s="4"/>
      <c r="D618" s="4"/>
      <c r="E618" s="4"/>
      <c r="F618" s="4"/>
      <c r="G618" s="4"/>
      <c r="H618" s="4"/>
      <c r="I618" s="4"/>
    </row>
    <row r="619" ht="15.75" customHeight="1">
      <c r="A619" s="4"/>
      <c r="B619" s="4"/>
      <c r="C619" s="4"/>
      <c r="D619" s="4"/>
      <c r="E619" s="4"/>
      <c r="F619" s="4"/>
      <c r="G619" s="4"/>
      <c r="H619" s="4"/>
      <c r="I619" s="4"/>
    </row>
    <row r="620" ht="15.75" customHeight="1">
      <c r="A620" s="4"/>
      <c r="B620" s="4"/>
      <c r="C620" s="4"/>
      <c r="D620" s="4"/>
      <c r="E620" s="4"/>
      <c r="F620" s="4"/>
      <c r="G620" s="4"/>
      <c r="H620" s="4"/>
      <c r="I620" s="4"/>
    </row>
    <row r="621" ht="15.75" customHeight="1">
      <c r="A621" s="4"/>
      <c r="B621" s="4"/>
      <c r="C621" s="4"/>
      <c r="D621" s="4"/>
      <c r="E621" s="4"/>
      <c r="F621" s="4"/>
      <c r="G621" s="4"/>
      <c r="H621" s="4"/>
      <c r="I621" s="4"/>
    </row>
    <row r="622" ht="15.75" customHeight="1">
      <c r="A622" s="4"/>
      <c r="B622" s="4"/>
      <c r="C622" s="4"/>
      <c r="D622" s="4"/>
      <c r="E622" s="4"/>
      <c r="F622" s="4"/>
      <c r="G622" s="4"/>
      <c r="H622" s="4"/>
      <c r="I622" s="4"/>
    </row>
    <row r="623" ht="15.75" customHeight="1">
      <c r="A623" s="4"/>
      <c r="B623" s="4"/>
      <c r="C623" s="4"/>
      <c r="D623" s="4"/>
      <c r="E623" s="4"/>
      <c r="F623" s="4"/>
      <c r="G623" s="4"/>
      <c r="H623" s="4"/>
      <c r="I623" s="4"/>
    </row>
    <row r="624" ht="15.75" customHeight="1">
      <c r="A624" s="4"/>
      <c r="B624" s="4"/>
      <c r="C624" s="4"/>
      <c r="D624" s="4"/>
      <c r="E624" s="4"/>
      <c r="F624" s="4"/>
      <c r="G624" s="4"/>
      <c r="H624" s="4"/>
      <c r="I624" s="4"/>
    </row>
    <row r="625" ht="15.75" customHeight="1">
      <c r="A625" s="4"/>
      <c r="B625" s="4"/>
      <c r="C625" s="4"/>
      <c r="D625" s="4"/>
      <c r="E625" s="4"/>
      <c r="F625" s="4"/>
      <c r="G625" s="4"/>
      <c r="H625" s="4"/>
      <c r="I625" s="4"/>
    </row>
    <row r="626" ht="15.75" customHeight="1">
      <c r="A626" s="4"/>
      <c r="B626" s="4"/>
      <c r="C626" s="4"/>
      <c r="D626" s="4"/>
      <c r="E626" s="4"/>
      <c r="F626" s="4"/>
      <c r="G626" s="4"/>
      <c r="H626" s="4"/>
      <c r="I626" s="4"/>
    </row>
    <row r="627" ht="15.75" customHeight="1">
      <c r="A627" s="4"/>
      <c r="B627" s="4"/>
      <c r="C627" s="4"/>
      <c r="D627" s="4"/>
      <c r="E627" s="4"/>
      <c r="F627" s="4"/>
      <c r="G627" s="4"/>
      <c r="H627" s="4"/>
      <c r="I627" s="4"/>
    </row>
    <row r="628" ht="15.75" customHeight="1">
      <c r="A628" s="4"/>
      <c r="B628" s="4"/>
      <c r="C628" s="4"/>
      <c r="D628" s="4"/>
      <c r="E628" s="4"/>
      <c r="F628" s="4"/>
      <c r="G628" s="4"/>
      <c r="H628" s="4"/>
      <c r="I628" s="4"/>
    </row>
    <row r="629" ht="15.75" customHeight="1">
      <c r="A629" s="4"/>
      <c r="B629" s="4"/>
      <c r="C629" s="4"/>
      <c r="D629" s="4"/>
      <c r="E629" s="4"/>
      <c r="F629" s="4"/>
      <c r="G629" s="4"/>
      <c r="H629" s="4"/>
      <c r="I629" s="4"/>
    </row>
    <row r="630" ht="15.75" customHeight="1">
      <c r="A630" s="4"/>
      <c r="B630" s="4"/>
      <c r="C630" s="4"/>
      <c r="D630" s="4"/>
      <c r="E630" s="4"/>
      <c r="F630" s="4"/>
      <c r="G630" s="4"/>
      <c r="H630" s="4"/>
      <c r="I630" s="4"/>
    </row>
    <row r="631" ht="15.75" customHeight="1">
      <c r="A631" s="4"/>
      <c r="B631" s="4"/>
      <c r="C631" s="4"/>
      <c r="D631" s="4"/>
      <c r="E631" s="4"/>
      <c r="F631" s="4"/>
      <c r="G631" s="4"/>
      <c r="H631" s="4"/>
      <c r="I631" s="4"/>
    </row>
    <row r="632" ht="15.75" customHeight="1">
      <c r="A632" s="4"/>
      <c r="B632" s="4"/>
      <c r="C632" s="4"/>
      <c r="D632" s="4"/>
      <c r="E632" s="4"/>
      <c r="F632" s="4"/>
      <c r="G632" s="4"/>
      <c r="H632" s="4"/>
      <c r="I632" s="4"/>
    </row>
    <row r="633" ht="15.75" customHeight="1">
      <c r="A633" s="4"/>
      <c r="B633" s="4"/>
      <c r="C633" s="4"/>
      <c r="D633" s="4"/>
      <c r="E633" s="4"/>
      <c r="F633" s="4"/>
      <c r="G633" s="4"/>
      <c r="H633" s="4"/>
      <c r="I633" s="4"/>
    </row>
    <row r="634" ht="15.75" customHeight="1">
      <c r="A634" s="4"/>
      <c r="B634" s="4"/>
      <c r="C634" s="4"/>
      <c r="D634" s="4"/>
      <c r="E634" s="4"/>
      <c r="F634" s="4"/>
      <c r="G634" s="4"/>
      <c r="H634" s="4"/>
      <c r="I634" s="4"/>
    </row>
    <row r="635" ht="15.75" customHeight="1">
      <c r="A635" s="4"/>
      <c r="B635" s="4"/>
      <c r="C635" s="4"/>
      <c r="D635" s="4"/>
      <c r="E635" s="4"/>
      <c r="F635" s="4"/>
      <c r="G635" s="4"/>
      <c r="H635" s="4"/>
      <c r="I635" s="4"/>
    </row>
    <row r="636" ht="15.75" customHeight="1">
      <c r="A636" s="4"/>
      <c r="B636" s="4"/>
      <c r="C636" s="4"/>
      <c r="D636" s="4"/>
      <c r="E636" s="4"/>
      <c r="F636" s="4"/>
      <c r="G636" s="4"/>
      <c r="H636" s="4"/>
      <c r="I636" s="4"/>
    </row>
    <row r="637" ht="15.75" customHeight="1">
      <c r="A637" s="4"/>
      <c r="B637" s="4"/>
      <c r="C637" s="4"/>
      <c r="D637" s="4"/>
      <c r="E637" s="4"/>
      <c r="F637" s="4"/>
      <c r="G637" s="4"/>
      <c r="H637" s="4"/>
      <c r="I637" s="4"/>
    </row>
    <row r="638" ht="15.75" customHeight="1">
      <c r="A638" s="4"/>
      <c r="B638" s="4"/>
      <c r="C638" s="4"/>
      <c r="D638" s="4"/>
      <c r="E638" s="4"/>
      <c r="F638" s="4"/>
      <c r="G638" s="4"/>
      <c r="H638" s="4"/>
      <c r="I638" s="4"/>
    </row>
    <row r="639" ht="15.75" customHeight="1">
      <c r="A639" s="4"/>
      <c r="B639" s="4"/>
      <c r="C639" s="4"/>
      <c r="D639" s="4"/>
      <c r="E639" s="4"/>
      <c r="F639" s="4"/>
      <c r="G639" s="4"/>
      <c r="H639" s="4"/>
      <c r="I639" s="4"/>
    </row>
    <row r="640" ht="15.75" customHeight="1">
      <c r="A640" s="4"/>
      <c r="B640" s="4"/>
      <c r="C640" s="4"/>
      <c r="D640" s="4"/>
      <c r="E640" s="4"/>
      <c r="F640" s="4"/>
      <c r="G640" s="4"/>
      <c r="H640" s="4"/>
      <c r="I640" s="4"/>
    </row>
    <row r="641" ht="15.75" customHeight="1">
      <c r="A641" s="4"/>
      <c r="B641" s="4"/>
      <c r="C641" s="4"/>
      <c r="D641" s="4"/>
      <c r="E641" s="4"/>
      <c r="F641" s="4"/>
      <c r="G641" s="4"/>
      <c r="H641" s="4"/>
      <c r="I641" s="4"/>
    </row>
    <row r="642" ht="15.75" customHeight="1">
      <c r="A642" s="4"/>
      <c r="B642" s="4"/>
      <c r="C642" s="4"/>
      <c r="D642" s="4"/>
      <c r="E642" s="4"/>
      <c r="F642" s="4"/>
      <c r="G642" s="4"/>
      <c r="H642" s="4"/>
      <c r="I642" s="4"/>
    </row>
    <row r="643" ht="15.75" customHeight="1">
      <c r="A643" s="4"/>
      <c r="B643" s="4"/>
      <c r="C643" s="4"/>
      <c r="D643" s="4"/>
      <c r="E643" s="4"/>
      <c r="F643" s="4"/>
      <c r="G643" s="4"/>
      <c r="H643" s="4"/>
      <c r="I643" s="4"/>
    </row>
    <row r="644" ht="15.75" customHeight="1">
      <c r="A644" s="4"/>
      <c r="B644" s="4"/>
      <c r="C644" s="4"/>
      <c r="D644" s="4"/>
      <c r="E644" s="4"/>
      <c r="F644" s="4"/>
      <c r="G644" s="4"/>
      <c r="H644" s="4"/>
      <c r="I644" s="4"/>
    </row>
    <row r="645" ht="15.75" customHeight="1">
      <c r="A645" s="4"/>
      <c r="B645" s="4"/>
      <c r="C645" s="4"/>
      <c r="D645" s="4"/>
      <c r="E645" s="4"/>
      <c r="F645" s="4"/>
      <c r="G645" s="4"/>
      <c r="H645" s="4"/>
      <c r="I645" s="4"/>
    </row>
    <row r="646" ht="15.75" customHeight="1">
      <c r="A646" s="4"/>
      <c r="B646" s="4"/>
      <c r="C646" s="4"/>
      <c r="D646" s="4"/>
      <c r="E646" s="4"/>
      <c r="F646" s="4"/>
      <c r="G646" s="4"/>
      <c r="H646" s="4"/>
      <c r="I646" s="4"/>
    </row>
    <row r="647" ht="15.75" customHeight="1">
      <c r="A647" s="4"/>
      <c r="B647" s="4"/>
      <c r="C647" s="4"/>
      <c r="D647" s="4"/>
      <c r="E647" s="4"/>
      <c r="F647" s="4"/>
      <c r="G647" s="4"/>
      <c r="H647" s="4"/>
      <c r="I647" s="4"/>
    </row>
    <row r="648" ht="15.75" customHeight="1">
      <c r="A648" s="4"/>
      <c r="B648" s="4"/>
      <c r="C648" s="4"/>
      <c r="D648" s="4"/>
      <c r="E648" s="4"/>
      <c r="F648" s="4"/>
      <c r="G648" s="4"/>
      <c r="H648" s="4"/>
      <c r="I648" s="4"/>
    </row>
    <row r="649" ht="15.75" customHeight="1">
      <c r="A649" s="4"/>
      <c r="B649" s="4"/>
      <c r="C649" s="4"/>
      <c r="D649" s="4"/>
      <c r="E649" s="4"/>
      <c r="F649" s="4"/>
      <c r="G649" s="4"/>
      <c r="H649" s="4"/>
      <c r="I649" s="4"/>
    </row>
    <row r="650" ht="15.75" customHeight="1">
      <c r="A650" s="4"/>
      <c r="B650" s="4"/>
      <c r="C650" s="4"/>
      <c r="D650" s="4"/>
      <c r="E650" s="4"/>
      <c r="F650" s="4"/>
      <c r="G650" s="4"/>
      <c r="H650" s="4"/>
      <c r="I650" s="4"/>
    </row>
    <row r="651" ht="15.75" customHeight="1">
      <c r="A651" s="4"/>
      <c r="B651" s="4"/>
      <c r="C651" s="4"/>
      <c r="D651" s="4"/>
      <c r="E651" s="4"/>
      <c r="F651" s="4"/>
      <c r="G651" s="4"/>
      <c r="H651" s="4"/>
      <c r="I651" s="4"/>
    </row>
    <row r="652" ht="15.75" customHeight="1">
      <c r="A652" s="4"/>
      <c r="B652" s="4"/>
      <c r="C652" s="4"/>
      <c r="D652" s="4"/>
      <c r="E652" s="4"/>
      <c r="F652" s="4"/>
      <c r="G652" s="4"/>
      <c r="H652" s="4"/>
      <c r="I652" s="4"/>
    </row>
    <row r="653" ht="15.75" customHeight="1">
      <c r="A653" s="4"/>
      <c r="B653" s="4"/>
      <c r="C653" s="4"/>
      <c r="D653" s="4"/>
      <c r="E653" s="4"/>
      <c r="F653" s="4"/>
      <c r="G653" s="4"/>
      <c r="H653" s="4"/>
      <c r="I653" s="4"/>
    </row>
    <row r="654" ht="15.75" customHeight="1">
      <c r="A654" s="4"/>
      <c r="B654" s="4"/>
      <c r="C654" s="4"/>
      <c r="D654" s="4"/>
      <c r="E654" s="4"/>
      <c r="F654" s="4"/>
      <c r="G654" s="4"/>
      <c r="H654" s="4"/>
      <c r="I654" s="4"/>
    </row>
    <row r="655" ht="15.75" customHeight="1">
      <c r="A655" s="4"/>
      <c r="B655" s="4"/>
      <c r="C655" s="4"/>
      <c r="D655" s="4"/>
      <c r="E655" s="4"/>
      <c r="F655" s="4"/>
      <c r="G655" s="4"/>
      <c r="H655" s="4"/>
      <c r="I655" s="4"/>
    </row>
    <row r="656" ht="15.75" customHeight="1">
      <c r="A656" s="4"/>
      <c r="B656" s="4"/>
      <c r="C656" s="4"/>
      <c r="D656" s="4"/>
      <c r="E656" s="4"/>
      <c r="F656" s="4"/>
      <c r="G656" s="4"/>
      <c r="H656" s="4"/>
      <c r="I656" s="4"/>
    </row>
    <row r="657" ht="15.75" customHeight="1">
      <c r="A657" s="4"/>
      <c r="B657" s="4"/>
      <c r="C657" s="4"/>
      <c r="D657" s="4"/>
      <c r="E657" s="4"/>
      <c r="F657" s="4"/>
      <c r="G657" s="4"/>
      <c r="H657" s="4"/>
      <c r="I657" s="4"/>
    </row>
    <row r="658" ht="15.75" customHeight="1">
      <c r="A658" s="4"/>
      <c r="B658" s="4"/>
      <c r="C658" s="4"/>
      <c r="D658" s="4"/>
      <c r="E658" s="4"/>
      <c r="F658" s="4"/>
      <c r="G658" s="4"/>
      <c r="H658" s="4"/>
      <c r="I658" s="4"/>
    </row>
    <row r="659" ht="15.75" customHeight="1">
      <c r="A659" s="4"/>
      <c r="B659" s="4"/>
      <c r="C659" s="4"/>
      <c r="D659" s="4"/>
      <c r="E659" s="4"/>
      <c r="F659" s="4"/>
      <c r="G659" s="4"/>
      <c r="H659" s="4"/>
      <c r="I659" s="4"/>
    </row>
    <row r="660" ht="15.75" customHeight="1">
      <c r="A660" s="4"/>
      <c r="B660" s="4"/>
      <c r="C660" s="4"/>
      <c r="D660" s="4"/>
      <c r="E660" s="4"/>
      <c r="F660" s="4"/>
      <c r="G660" s="4"/>
      <c r="H660" s="4"/>
      <c r="I660" s="4"/>
    </row>
    <row r="661" ht="15.75" customHeight="1">
      <c r="A661" s="4"/>
      <c r="B661" s="4"/>
      <c r="C661" s="4"/>
      <c r="D661" s="4"/>
      <c r="E661" s="4"/>
      <c r="F661" s="4"/>
      <c r="G661" s="4"/>
      <c r="H661" s="4"/>
      <c r="I661" s="4"/>
    </row>
    <row r="662" ht="15.75" customHeight="1">
      <c r="A662" s="4"/>
      <c r="B662" s="4"/>
      <c r="C662" s="4"/>
      <c r="D662" s="4"/>
      <c r="E662" s="4"/>
      <c r="F662" s="4"/>
      <c r="G662" s="4"/>
      <c r="H662" s="4"/>
      <c r="I662" s="4"/>
    </row>
    <row r="663" ht="15.75" customHeight="1">
      <c r="A663" s="4"/>
      <c r="B663" s="4"/>
      <c r="C663" s="4"/>
      <c r="D663" s="4"/>
      <c r="E663" s="4"/>
      <c r="F663" s="4"/>
      <c r="G663" s="4"/>
      <c r="H663" s="4"/>
      <c r="I663" s="4"/>
    </row>
    <row r="664" ht="15.75" customHeight="1">
      <c r="A664" s="4"/>
      <c r="B664" s="4"/>
      <c r="C664" s="4"/>
      <c r="D664" s="4"/>
      <c r="E664" s="4"/>
      <c r="F664" s="4"/>
      <c r="G664" s="4"/>
      <c r="H664" s="4"/>
      <c r="I664" s="4"/>
    </row>
    <row r="665" ht="15.75" customHeight="1">
      <c r="A665" s="4"/>
      <c r="B665" s="4"/>
      <c r="C665" s="4"/>
      <c r="D665" s="4"/>
      <c r="E665" s="4"/>
      <c r="F665" s="4"/>
      <c r="G665" s="4"/>
      <c r="H665" s="4"/>
      <c r="I665" s="4"/>
    </row>
    <row r="666" ht="15.75" customHeight="1">
      <c r="A666" s="4"/>
      <c r="B666" s="4"/>
      <c r="C666" s="4"/>
      <c r="D666" s="4"/>
      <c r="E666" s="4"/>
      <c r="F666" s="4"/>
      <c r="G666" s="4"/>
      <c r="H666" s="4"/>
      <c r="I666" s="4"/>
    </row>
    <row r="667" ht="15.75" customHeight="1">
      <c r="A667" s="4"/>
      <c r="B667" s="4"/>
      <c r="C667" s="4"/>
      <c r="D667" s="4"/>
      <c r="E667" s="4"/>
      <c r="F667" s="4"/>
      <c r="G667" s="4"/>
      <c r="H667" s="4"/>
      <c r="I667" s="4"/>
    </row>
    <row r="668" ht="15.75" customHeight="1">
      <c r="A668" s="4"/>
      <c r="B668" s="4"/>
      <c r="C668" s="4"/>
      <c r="D668" s="4"/>
      <c r="E668" s="4"/>
      <c r="F668" s="4"/>
      <c r="G668" s="4"/>
      <c r="H668" s="4"/>
      <c r="I668" s="4"/>
    </row>
    <row r="669" ht="15.75" customHeight="1">
      <c r="A669" s="4"/>
      <c r="B669" s="4"/>
      <c r="C669" s="4"/>
      <c r="D669" s="4"/>
      <c r="E669" s="4"/>
      <c r="F669" s="4"/>
      <c r="G669" s="4"/>
      <c r="H669" s="4"/>
      <c r="I669" s="4"/>
    </row>
    <row r="670" ht="15.75" customHeight="1">
      <c r="A670" s="4"/>
      <c r="B670" s="4"/>
      <c r="C670" s="4"/>
      <c r="D670" s="4"/>
      <c r="E670" s="4"/>
      <c r="F670" s="4"/>
      <c r="G670" s="4"/>
      <c r="H670" s="4"/>
      <c r="I670" s="4"/>
    </row>
    <row r="671" ht="15.75" customHeight="1">
      <c r="A671" s="4"/>
      <c r="B671" s="4"/>
      <c r="C671" s="4"/>
      <c r="D671" s="4"/>
      <c r="E671" s="4"/>
      <c r="F671" s="4"/>
      <c r="G671" s="4"/>
      <c r="H671" s="4"/>
      <c r="I671" s="4"/>
    </row>
    <row r="672" ht="15.75" customHeight="1">
      <c r="A672" s="4"/>
      <c r="B672" s="4"/>
      <c r="C672" s="4"/>
      <c r="D672" s="4"/>
      <c r="E672" s="4"/>
      <c r="F672" s="4"/>
      <c r="G672" s="4"/>
      <c r="H672" s="4"/>
      <c r="I672" s="4"/>
    </row>
    <row r="673" ht="15.75" customHeight="1">
      <c r="A673" s="4"/>
      <c r="B673" s="4"/>
      <c r="C673" s="4"/>
      <c r="D673" s="4"/>
      <c r="E673" s="4"/>
      <c r="F673" s="4"/>
      <c r="G673" s="4"/>
      <c r="H673" s="4"/>
      <c r="I673" s="4"/>
    </row>
    <row r="674" ht="15.75" customHeight="1">
      <c r="A674" s="4"/>
      <c r="B674" s="4"/>
      <c r="C674" s="4"/>
      <c r="D674" s="4"/>
      <c r="E674" s="4"/>
      <c r="F674" s="4"/>
      <c r="G674" s="4"/>
      <c r="H674" s="4"/>
      <c r="I674" s="4"/>
    </row>
    <row r="675" ht="15.75" customHeight="1">
      <c r="A675" s="4"/>
      <c r="B675" s="4"/>
      <c r="C675" s="4"/>
      <c r="D675" s="4"/>
      <c r="E675" s="4"/>
      <c r="F675" s="4"/>
      <c r="G675" s="4"/>
      <c r="H675" s="4"/>
      <c r="I675" s="4"/>
    </row>
    <row r="676" ht="15.75" customHeight="1">
      <c r="A676" s="4"/>
      <c r="B676" s="4"/>
      <c r="C676" s="4"/>
      <c r="D676" s="4"/>
      <c r="E676" s="4"/>
      <c r="F676" s="4"/>
      <c r="G676" s="4"/>
      <c r="H676" s="4"/>
      <c r="I676" s="4"/>
    </row>
    <row r="677" ht="15.75" customHeight="1">
      <c r="A677" s="4"/>
      <c r="B677" s="4"/>
      <c r="C677" s="4"/>
      <c r="D677" s="4"/>
      <c r="E677" s="4"/>
      <c r="F677" s="4"/>
      <c r="G677" s="4"/>
      <c r="H677" s="4"/>
      <c r="I677" s="4"/>
    </row>
    <row r="678" ht="15.75" customHeight="1">
      <c r="A678" s="4"/>
      <c r="B678" s="4"/>
      <c r="C678" s="4"/>
      <c r="D678" s="4"/>
      <c r="E678" s="4"/>
      <c r="F678" s="4"/>
      <c r="G678" s="4"/>
      <c r="H678" s="4"/>
      <c r="I678" s="4"/>
    </row>
    <row r="679" ht="15.75" customHeight="1">
      <c r="A679" s="4"/>
      <c r="B679" s="4"/>
      <c r="C679" s="4"/>
      <c r="D679" s="4"/>
      <c r="E679" s="4"/>
      <c r="F679" s="4"/>
      <c r="G679" s="4"/>
      <c r="H679" s="4"/>
      <c r="I679" s="4"/>
    </row>
    <row r="680" ht="15.75" customHeight="1">
      <c r="A680" s="4"/>
      <c r="B680" s="4"/>
      <c r="C680" s="4"/>
      <c r="D680" s="4"/>
      <c r="E680" s="4"/>
      <c r="F680" s="4"/>
      <c r="G680" s="4"/>
      <c r="H680" s="4"/>
      <c r="I680" s="4"/>
    </row>
    <row r="681" ht="15.75" customHeight="1">
      <c r="A681" s="4"/>
      <c r="B681" s="4"/>
      <c r="C681" s="4"/>
      <c r="D681" s="4"/>
      <c r="E681" s="4"/>
      <c r="F681" s="4"/>
      <c r="G681" s="4"/>
      <c r="H681" s="4"/>
      <c r="I681" s="4"/>
    </row>
    <row r="682" ht="15.75" customHeight="1">
      <c r="A682" s="4"/>
      <c r="B682" s="4"/>
      <c r="C682" s="4"/>
      <c r="D682" s="4"/>
      <c r="E682" s="4"/>
      <c r="F682" s="4"/>
      <c r="G682" s="4"/>
      <c r="H682" s="4"/>
      <c r="I682" s="4"/>
    </row>
    <row r="683" ht="15.75" customHeight="1">
      <c r="A683" s="4"/>
      <c r="B683" s="4"/>
      <c r="C683" s="4"/>
      <c r="D683" s="4"/>
      <c r="E683" s="4"/>
      <c r="F683" s="4"/>
      <c r="G683" s="4"/>
      <c r="H683" s="4"/>
      <c r="I683" s="4"/>
    </row>
    <row r="684" ht="15.75" customHeight="1">
      <c r="A684" s="4"/>
      <c r="B684" s="4"/>
      <c r="C684" s="4"/>
      <c r="D684" s="4"/>
      <c r="E684" s="4"/>
      <c r="F684" s="4"/>
      <c r="G684" s="4"/>
      <c r="H684" s="4"/>
      <c r="I684" s="4"/>
    </row>
    <row r="685" ht="15.75" customHeight="1">
      <c r="A685" s="4"/>
      <c r="B685" s="4"/>
      <c r="C685" s="4"/>
      <c r="D685" s="4"/>
      <c r="E685" s="4"/>
      <c r="F685" s="4"/>
      <c r="G685" s="4"/>
      <c r="H685" s="4"/>
      <c r="I685" s="4"/>
    </row>
    <row r="686" ht="15.75" customHeight="1">
      <c r="A686" s="4"/>
      <c r="B686" s="4"/>
      <c r="C686" s="4"/>
      <c r="D686" s="4"/>
      <c r="E686" s="4"/>
      <c r="F686" s="4"/>
      <c r="G686" s="4"/>
      <c r="H686" s="4"/>
      <c r="I686" s="4"/>
    </row>
    <row r="687" ht="15.75" customHeight="1">
      <c r="A687" s="4"/>
      <c r="B687" s="4"/>
      <c r="C687" s="4"/>
      <c r="D687" s="4"/>
      <c r="E687" s="4"/>
      <c r="F687" s="4"/>
      <c r="G687" s="4"/>
      <c r="H687" s="4"/>
      <c r="I687" s="4"/>
    </row>
    <row r="688" ht="15.75" customHeight="1">
      <c r="A688" s="4"/>
      <c r="B688" s="4"/>
      <c r="C688" s="4"/>
      <c r="D688" s="4"/>
      <c r="E688" s="4"/>
      <c r="F688" s="4"/>
      <c r="G688" s="4"/>
      <c r="H688" s="4"/>
      <c r="I688" s="4"/>
    </row>
    <row r="689" ht="15.75" customHeight="1">
      <c r="A689" s="4"/>
      <c r="B689" s="4"/>
      <c r="C689" s="4"/>
      <c r="D689" s="4"/>
      <c r="E689" s="4"/>
      <c r="F689" s="4"/>
      <c r="G689" s="4"/>
      <c r="H689" s="4"/>
      <c r="I689" s="4"/>
    </row>
    <row r="690" ht="15.75" customHeight="1">
      <c r="A690" s="4"/>
      <c r="B690" s="4"/>
      <c r="C690" s="4"/>
      <c r="D690" s="4"/>
      <c r="E690" s="4"/>
      <c r="F690" s="4"/>
      <c r="G690" s="4"/>
      <c r="H690" s="4"/>
      <c r="I690" s="4"/>
    </row>
    <row r="691" ht="15.75" customHeight="1">
      <c r="A691" s="4"/>
      <c r="B691" s="4"/>
      <c r="C691" s="4"/>
      <c r="D691" s="4"/>
      <c r="E691" s="4"/>
      <c r="F691" s="4"/>
      <c r="G691" s="4"/>
      <c r="H691" s="4"/>
      <c r="I691" s="4"/>
    </row>
    <row r="692" ht="15.75" customHeight="1">
      <c r="A692" s="4"/>
      <c r="B692" s="4"/>
      <c r="C692" s="4"/>
      <c r="D692" s="4"/>
      <c r="E692" s="4"/>
      <c r="F692" s="4"/>
      <c r="G692" s="4"/>
      <c r="H692" s="4"/>
      <c r="I692" s="4"/>
    </row>
    <row r="693" ht="15.75" customHeight="1">
      <c r="A693" s="4"/>
      <c r="B693" s="4"/>
      <c r="C693" s="4"/>
      <c r="D693" s="4"/>
      <c r="E693" s="4"/>
      <c r="F693" s="4"/>
      <c r="G693" s="4"/>
      <c r="H693" s="4"/>
      <c r="I693" s="4"/>
    </row>
    <row r="694" ht="15.75" customHeight="1">
      <c r="A694" s="4"/>
      <c r="B694" s="4"/>
      <c r="C694" s="4"/>
      <c r="D694" s="4"/>
      <c r="E694" s="4"/>
      <c r="F694" s="4"/>
      <c r="G694" s="4"/>
      <c r="H694" s="4"/>
      <c r="I694" s="4"/>
    </row>
    <row r="695" ht="15.75" customHeight="1">
      <c r="A695" s="4"/>
      <c r="B695" s="4"/>
      <c r="C695" s="4"/>
      <c r="D695" s="4"/>
      <c r="E695" s="4"/>
      <c r="F695" s="4"/>
      <c r="G695" s="4"/>
      <c r="H695" s="4"/>
      <c r="I695" s="4"/>
    </row>
    <row r="696" ht="15.75" customHeight="1">
      <c r="A696" s="4"/>
      <c r="B696" s="4"/>
      <c r="C696" s="4"/>
      <c r="D696" s="4"/>
      <c r="E696" s="4"/>
      <c r="F696" s="4"/>
      <c r="G696" s="4"/>
      <c r="H696" s="4"/>
      <c r="I696" s="4"/>
    </row>
    <row r="697" ht="15.75" customHeight="1">
      <c r="A697" s="4"/>
      <c r="B697" s="4"/>
      <c r="C697" s="4"/>
      <c r="D697" s="4"/>
      <c r="E697" s="4"/>
      <c r="F697" s="4"/>
      <c r="G697" s="4"/>
      <c r="H697" s="4"/>
      <c r="I697" s="4"/>
    </row>
    <row r="698" ht="15.75" customHeight="1">
      <c r="A698" s="4"/>
      <c r="B698" s="4"/>
      <c r="C698" s="4"/>
      <c r="D698" s="4"/>
      <c r="E698" s="4"/>
      <c r="F698" s="4"/>
      <c r="G698" s="4"/>
      <c r="H698" s="4"/>
      <c r="I698" s="4"/>
    </row>
    <row r="699" ht="15.75" customHeight="1">
      <c r="A699" s="4"/>
      <c r="B699" s="4"/>
      <c r="C699" s="4"/>
      <c r="D699" s="4"/>
      <c r="E699" s="4"/>
      <c r="F699" s="4"/>
      <c r="G699" s="4"/>
      <c r="H699" s="4"/>
      <c r="I699" s="4"/>
    </row>
    <row r="700" ht="15.75" customHeight="1">
      <c r="A700" s="4"/>
      <c r="B700" s="4"/>
      <c r="C700" s="4"/>
      <c r="D700" s="4"/>
      <c r="E700" s="4"/>
      <c r="F700" s="4"/>
      <c r="G700" s="4"/>
      <c r="H700" s="4"/>
      <c r="I700" s="4"/>
    </row>
    <row r="701" ht="15.75" customHeight="1">
      <c r="A701" s="4"/>
      <c r="B701" s="4"/>
      <c r="C701" s="4"/>
      <c r="D701" s="4"/>
      <c r="E701" s="4"/>
      <c r="F701" s="4"/>
      <c r="G701" s="4"/>
      <c r="H701" s="4"/>
      <c r="I701" s="4"/>
    </row>
    <row r="702" ht="15.75" customHeight="1">
      <c r="A702" s="4"/>
      <c r="B702" s="4"/>
      <c r="C702" s="4"/>
      <c r="D702" s="4"/>
      <c r="E702" s="4"/>
      <c r="F702" s="4"/>
      <c r="G702" s="4"/>
      <c r="H702" s="4"/>
      <c r="I702" s="4"/>
    </row>
    <row r="703" ht="15.75" customHeight="1">
      <c r="A703" s="4"/>
      <c r="B703" s="4"/>
      <c r="C703" s="4"/>
      <c r="D703" s="4"/>
      <c r="E703" s="4"/>
      <c r="F703" s="4"/>
      <c r="G703" s="4"/>
      <c r="H703" s="4"/>
      <c r="I703" s="4"/>
    </row>
    <row r="704" ht="15.75" customHeight="1">
      <c r="A704" s="4"/>
      <c r="B704" s="4"/>
      <c r="C704" s="4"/>
      <c r="D704" s="4"/>
      <c r="E704" s="4"/>
      <c r="F704" s="4"/>
      <c r="G704" s="4"/>
      <c r="H704" s="4"/>
      <c r="I704" s="4"/>
    </row>
    <row r="705" ht="15.75" customHeight="1">
      <c r="A705" s="4"/>
      <c r="B705" s="4"/>
      <c r="C705" s="4"/>
      <c r="D705" s="4"/>
      <c r="E705" s="4"/>
      <c r="F705" s="4"/>
      <c r="G705" s="4"/>
      <c r="H705" s="4"/>
      <c r="I705" s="4"/>
    </row>
    <row r="706" ht="15.75" customHeight="1">
      <c r="A706" s="4"/>
      <c r="B706" s="4"/>
      <c r="C706" s="4"/>
      <c r="D706" s="4"/>
      <c r="E706" s="4"/>
      <c r="F706" s="4"/>
      <c r="G706" s="4"/>
      <c r="H706" s="4"/>
      <c r="I706" s="4"/>
    </row>
    <row r="707" ht="15.75" customHeight="1">
      <c r="A707" s="4"/>
      <c r="B707" s="4"/>
      <c r="C707" s="4"/>
      <c r="D707" s="4"/>
      <c r="E707" s="4"/>
      <c r="F707" s="4"/>
      <c r="G707" s="4"/>
      <c r="H707" s="4"/>
      <c r="I707" s="4"/>
    </row>
    <row r="708" ht="15.75" customHeight="1">
      <c r="A708" s="4"/>
      <c r="B708" s="4"/>
      <c r="C708" s="4"/>
      <c r="D708" s="4"/>
      <c r="E708" s="4"/>
      <c r="F708" s="4"/>
      <c r="G708" s="4"/>
      <c r="H708" s="4"/>
      <c r="I708" s="4"/>
    </row>
    <row r="709" ht="15.75" customHeight="1">
      <c r="A709" s="4"/>
      <c r="B709" s="4"/>
      <c r="C709" s="4"/>
      <c r="D709" s="4"/>
      <c r="E709" s="4"/>
      <c r="F709" s="4"/>
      <c r="G709" s="4"/>
      <c r="H709" s="4"/>
      <c r="I709" s="4"/>
    </row>
    <row r="710" ht="15.75" customHeight="1">
      <c r="A710" s="4"/>
      <c r="B710" s="4"/>
      <c r="C710" s="4"/>
      <c r="D710" s="4"/>
      <c r="E710" s="4"/>
      <c r="F710" s="4"/>
      <c r="G710" s="4"/>
      <c r="H710" s="4"/>
      <c r="I710" s="4"/>
    </row>
    <row r="711" ht="15.75" customHeight="1">
      <c r="A711" s="4"/>
      <c r="B711" s="4"/>
      <c r="C711" s="4"/>
      <c r="D711" s="4"/>
      <c r="E711" s="4"/>
      <c r="F711" s="4"/>
      <c r="G711" s="4"/>
      <c r="H711" s="4"/>
      <c r="I711" s="4"/>
    </row>
    <row r="712" ht="15.75" customHeight="1">
      <c r="A712" s="4"/>
      <c r="B712" s="4"/>
      <c r="C712" s="4"/>
      <c r="D712" s="4"/>
      <c r="E712" s="4"/>
      <c r="F712" s="4"/>
      <c r="G712" s="4"/>
      <c r="H712" s="4"/>
      <c r="I712" s="4"/>
    </row>
    <row r="713" ht="15.75" customHeight="1">
      <c r="A713" s="4"/>
      <c r="B713" s="4"/>
      <c r="C713" s="4"/>
      <c r="D713" s="4"/>
      <c r="E713" s="4"/>
      <c r="F713" s="4"/>
      <c r="G713" s="4"/>
      <c r="H713" s="4"/>
      <c r="I713" s="4"/>
    </row>
    <row r="714" ht="15.75" customHeight="1">
      <c r="A714" s="4"/>
      <c r="B714" s="4"/>
      <c r="C714" s="4"/>
      <c r="D714" s="4"/>
      <c r="E714" s="4"/>
      <c r="F714" s="4"/>
      <c r="G714" s="4"/>
      <c r="H714" s="4"/>
      <c r="I714" s="4"/>
    </row>
    <row r="715" ht="15.75" customHeight="1">
      <c r="A715" s="4"/>
      <c r="B715" s="4"/>
      <c r="C715" s="4"/>
      <c r="D715" s="4"/>
      <c r="E715" s="4"/>
      <c r="F715" s="4"/>
      <c r="G715" s="4"/>
      <c r="H715" s="4"/>
      <c r="I715" s="4"/>
    </row>
    <row r="716" ht="15.75" customHeight="1">
      <c r="A716" s="4"/>
      <c r="B716" s="4"/>
      <c r="C716" s="4"/>
      <c r="D716" s="4"/>
      <c r="E716" s="4"/>
      <c r="F716" s="4"/>
      <c r="G716" s="4"/>
      <c r="H716" s="4"/>
      <c r="I716" s="4"/>
    </row>
    <row r="717" ht="15.75" customHeight="1">
      <c r="A717" s="4"/>
      <c r="B717" s="4"/>
      <c r="C717" s="4"/>
      <c r="D717" s="4"/>
      <c r="E717" s="4"/>
      <c r="F717" s="4"/>
      <c r="G717" s="4"/>
      <c r="H717" s="4"/>
      <c r="I717" s="4"/>
    </row>
    <row r="718" ht="15.75" customHeight="1">
      <c r="A718" s="4"/>
      <c r="B718" s="4"/>
      <c r="C718" s="4"/>
      <c r="D718" s="4"/>
      <c r="E718" s="4"/>
      <c r="F718" s="4"/>
      <c r="G718" s="4"/>
      <c r="H718" s="4"/>
      <c r="I718" s="4"/>
    </row>
    <row r="719" ht="15.75" customHeight="1">
      <c r="A719" s="4"/>
      <c r="B719" s="4"/>
      <c r="C719" s="4"/>
      <c r="D719" s="4"/>
      <c r="E719" s="4"/>
      <c r="F719" s="4"/>
      <c r="G719" s="4"/>
      <c r="H719" s="4"/>
      <c r="I719" s="4"/>
    </row>
    <row r="720" ht="15.75" customHeight="1">
      <c r="A720" s="4"/>
      <c r="B720" s="4"/>
      <c r="C720" s="4"/>
      <c r="D720" s="4"/>
      <c r="E720" s="4"/>
      <c r="F720" s="4"/>
      <c r="G720" s="4"/>
      <c r="H720" s="4"/>
      <c r="I720" s="4"/>
    </row>
    <row r="721" ht="15.75" customHeight="1">
      <c r="A721" s="4"/>
      <c r="B721" s="4"/>
      <c r="C721" s="4"/>
      <c r="D721" s="4"/>
      <c r="E721" s="4"/>
      <c r="F721" s="4"/>
      <c r="G721" s="4"/>
      <c r="H721" s="4"/>
      <c r="I721" s="4"/>
    </row>
    <row r="722" ht="15.75" customHeight="1">
      <c r="A722" s="4"/>
      <c r="B722" s="4"/>
      <c r="C722" s="4"/>
      <c r="D722" s="4"/>
      <c r="E722" s="4"/>
      <c r="F722" s="4"/>
      <c r="G722" s="4"/>
      <c r="H722" s="4"/>
      <c r="I722" s="4"/>
    </row>
    <row r="723" ht="15.75" customHeight="1">
      <c r="A723" s="4"/>
      <c r="B723" s="4"/>
      <c r="C723" s="4"/>
      <c r="D723" s="4"/>
      <c r="E723" s="4"/>
      <c r="F723" s="4"/>
      <c r="G723" s="4"/>
      <c r="H723" s="4"/>
      <c r="I723" s="4"/>
    </row>
    <row r="724" ht="15.75" customHeight="1">
      <c r="A724" s="4"/>
      <c r="B724" s="4"/>
      <c r="C724" s="4"/>
      <c r="D724" s="4"/>
      <c r="E724" s="4"/>
      <c r="F724" s="4"/>
      <c r="G724" s="4"/>
      <c r="H724" s="4"/>
      <c r="I724" s="4"/>
    </row>
    <row r="725" ht="15.75" customHeight="1">
      <c r="A725" s="4"/>
      <c r="B725" s="4"/>
      <c r="C725" s="4"/>
      <c r="D725" s="4"/>
      <c r="E725" s="4"/>
      <c r="F725" s="4"/>
      <c r="G725" s="4"/>
      <c r="H725" s="4"/>
      <c r="I725" s="4"/>
    </row>
    <row r="726" ht="15.75" customHeight="1">
      <c r="A726" s="4"/>
      <c r="B726" s="4"/>
      <c r="C726" s="4"/>
      <c r="D726" s="4"/>
      <c r="E726" s="4"/>
      <c r="F726" s="4"/>
      <c r="G726" s="4"/>
      <c r="H726" s="4"/>
      <c r="I726" s="4"/>
    </row>
    <row r="727" ht="15.75" customHeight="1">
      <c r="A727" s="4"/>
      <c r="B727" s="4"/>
      <c r="C727" s="4"/>
      <c r="D727" s="4"/>
      <c r="E727" s="4"/>
      <c r="F727" s="4"/>
      <c r="G727" s="4"/>
      <c r="H727" s="4"/>
      <c r="I727" s="4"/>
    </row>
    <row r="728" ht="15.75" customHeight="1">
      <c r="A728" s="4"/>
      <c r="B728" s="4"/>
      <c r="C728" s="4"/>
      <c r="D728" s="4"/>
      <c r="E728" s="4"/>
      <c r="F728" s="4"/>
      <c r="G728" s="4"/>
      <c r="H728" s="4"/>
      <c r="I728" s="4"/>
    </row>
    <row r="729" ht="15.75" customHeight="1">
      <c r="A729" s="4"/>
      <c r="B729" s="4"/>
      <c r="C729" s="4"/>
      <c r="D729" s="4"/>
      <c r="E729" s="4"/>
      <c r="F729" s="4"/>
      <c r="G729" s="4"/>
      <c r="H729" s="4"/>
      <c r="I729" s="4"/>
    </row>
    <row r="730" ht="15.75" customHeight="1">
      <c r="A730" s="4"/>
      <c r="B730" s="4"/>
      <c r="C730" s="4"/>
      <c r="D730" s="4"/>
      <c r="E730" s="4"/>
      <c r="F730" s="4"/>
      <c r="G730" s="4"/>
      <c r="H730" s="4"/>
      <c r="I730" s="4"/>
    </row>
    <row r="731" ht="15.75" customHeight="1">
      <c r="A731" s="4"/>
      <c r="B731" s="4"/>
      <c r="C731" s="4"/>
      <c r="D731" s="4"/>
      <c r="E731" s="4"/>
      <c r="F731" s="4"/>
      <c r="G731" s="4"/>
      <c r="H731" s="4"/>
      <c r="I731" s="4"/>
    </row>
    <row r="732" ht="15.75" customHeight="1">
      <c r="A732" s="4"/>
      <c r="B732" s="4"/>
      <c r="C732" s="4"/>
      <c r="D732" s="4"/>
      <c r="E732" s="4"/>
      <c r="F732" s="4"/>
      <c r="G732" s="4"/>
      <c r="H732" s="4"/>
      <c r="I732" s="4"/>
    </row>
    <row r="733" ht="15.75" customHeight="1">
      <c r="A733" s="4"/>
      <c r="B733" s="4"/>
      <c r="C733" s="4"/>
      <c r="D733" s="4"/>
      <c r="E733" s="4"/>
      <c r="F733" s="4"/>
      <c r="G733" s="4"/>
      <c r="H733" s="4"/>
      <c r="I733" s="4"/>
    </row>
    <row r="734" ht="15.75" customHeight="1">
      <c r="A734" s="4"/>
      <c r="B734" s="4"/>
      <c r="C734" s="4"/>
      <c r="D734" s="4"/>
      <c r="E734" s="4"/>
      <c r="F734" s="4"/>
      <c r="G734" s="4"/>
      <c r="H734" s="4"/>
      <c r="I734" s="4"/>
    </row>
    <row r="735" ht="15.75" customHeight="1">
      <c r="A735" s="4"/>
      <c r="B735" s="4"/>
      <c r="C735" s="4"/>
      <c r="D735" s="4"/>
      <c r="E735" s="4"/>
      <c r="F735" s="4"/>
      <c r="G735" s="4"/>
      <c r="H735" s="4"/>
      <c r="I735" s="4"/>
    </row>
    <row r="736" ht="15.75" customHeight="1">
      <c r="A736" s="4"/>
      <c r="B736" s="4"/>
      <c r="C736" s="4"/>
      <c r="D736" s="4"/>
      <c r="E736" s="4"/>
      <c r="F736" s="4"/>
      <c r="G736" s="4"/>
      <c r="H736" s="4"/>
      <c r="I736" s="4"/>
    </row>
    <row r="737" ht="15.75" customHeight="1">
      <c r="A737" s="4"/>
      <c r="B737" s="4"/>
      <c r="C737" s="4"/>
      <c r="D737" s="4"/>
      <c r="E737" s="4"/>
      <c r="F737" s="4"/>
      <c r="G737" s="4"/>
      <c r="H737" s="4"/>
      <c r="I737" s="4"/>
    </row>
    <row r="738" ht="15.75" customHeight="1">
      <c r="A738" s="4"/>
      <c r="B738" s="4"/>
      <c r="C738" s="4"/>
      <c r="D738" s="4"/>
      <c r="E738" s="4"/>
      <c r="F738" s="4"/>
      <c r="G738" s="4"/>
      <c r="H738" s="4"/>
      <c r="I738" s="4"/>
    </row>
    <row r="739" ht="15.75" customHeight="1">
      <c r="A739" s="4"/>
      <c r="B739" s="4"/>
      <c r="C739" s="4"/>
      <c r="D739" s="4"/>
      <c r="E739" s="4"/>
      <c r="F739" s="4"/>
      <c r="G739" s="4"/>
      <c r="H739" s="4"/>
      <c r="I739" s="4"/>
    </row>
    <row r="740" ht="15.75" customHeight="1">
      <c r="A740" s="4"/>
      <c r="B740" s="4"/>
      <c r="C740" s="4"/>
      <c r="D740" s="4"/>
      <c r="E740" s="4"/>
      <c r="F740" s="4"/>
      <c r="G740" s="4"/>
      <c r="H740" s="4"/>
      <c r="I740" s="4"/>
    </row>
    <row r="741" ht="15.75" customHeight="1">
      <c r="A741" s="4"/>
      <c r="B741" s="4"/>
      <c r="C741" s="4"/>
      <c r="D741" s="4"/>
      <c r="E741" s="4"/>
      <c r="F741" s="4"/>
      <c r="G741" s="4"/>
      <c r="H741" s="4"/>
      <c r="I741" s="4"/>
    </row>
    <row r="742" ht="15.75" customHeight="1">
      <c r="A742" s="4"/>
      <c r="B742" s="4"/>
      <c r="C742" s="4"/>
      <c r="D742" s="4"/>
      <c r="E742" s="4"/>
      <c r="F742" s="4"/>
      <c r="G742" s="4"/>
      <c r="H742" s="4"/>
      <c r="I742" s="4"/>
    </row>
    <row r="743" ht="15.75" customHeight="1">
      <c r="A743" s="4"/>
      <c r="B743" s="4"/>
      <c r="C743" s="4"/>
      <c r="D743" s="4"/>
      <c r="E743" s="4"/>
      <c r="F743" s="4"/>
      <c r="G743" s="4"/>
      <c r="H743" s="4"/>
      <c r="I743" s="4"/>
    </row>
    <row r="744" ht="15.75" customHeight="1">
      <c r="A744" s="4"/>
      <c r="B744" s="4"/>
      <c r="C744" s="4"/>
      <c r="D744" s="4"/>
      <c r="E744" s="4"/>
      <c r="F744" s="4"/>
      <c r="G744" s="4"/>
      <c r="H744" s="4"/>
      <c r="I744" s="4"/>
    </row>
    <row r="745" ht="15.75" customHeight="1">
      <c r="A745" s="4"/>
      <c r="B745" s="4"/>
      <c r="C745" s="4"/>
      <c r="D745" s="4"/>
      <c r="E745" s="4"/>
      <c r="F745" s="4"/>
      <c r="G745" s="4"/>
      <c r="H745" s="4"/>
      <c r="I745" s="4"/>
    </row>
    <row r="746" ht="15.75" customHeight="1">
      <c r="A746" s="4"/>
      <c r="B746" s="4"/>
      <c r="C746" s="4"/>
      <c r="D746" s="4"/>
      <c r="E746" s="4"/>
      <c r="F746" s="4"/>
      <c r="G746" s="4"/>
      <c r="H746" s="4"/>
      <c r="I746" s="4"/>
    </row>
    <row r="747" ht="15.75" customHeight="1">
      <c r="A747" s="4"/>
      <c r="B747" s="4"/>
      <c r="C747" s="4"/>
      <c r="D747" s="4"/>
      <c r="E747" s="4"/>
      <c r="F747" s="4"/>
      <c r="G747" s="4"/>
      <c r="H747" s="4"/>
      <c r="I747" s="4"/>
    </row>
    <row r="748" ht="15.75" customHeight="1">
      <c r="A748" s="4"/>
      <c r="B748" s="4"/>
      <c r="C748" s="4"/>
      <c r="D748" s="4"/>
      <c r="E748" s="4"/>
      <c r="F748" s="4"/>
      <c r="G748" s="4"/>
      <c r="H748" s="4"/>
      <c r="I748" s="4"/>
    </row>
    <row r="749" ht="15.75" customHeight="1">
      <c r="A749" s="4"/>
      <c r="B749" s="4"/>
      <c r="C749" s="4"/>
      <c r="D749" s="4"/>
      <c r="E749" s="4"/>
      <c r="F749" s="4"/>
      <c r="G749" s="4"/>
      <c r="H749" s="4"/>
      <c r="I749" s="4"/>
    </row>
    <row r="750" ht="15.75" customHeight="1">
      <c r="A750" s="4"/>
      <c r="B750" s="4"/>
      <c r="C750" s="4"/>
      <c r="D750" s="4"/>
      <c r="E750" s="4"/>
      <c r="F750" s="4"/>
      <c r="G750" s="4"/>
      <c r="H750" s="4"/>
      <c r="I750" s="4"/>
    </row>
    <row r="751" ht="15.75" customHeight="1">
      <c r="A751" s="4"/>
      <c r="B751" s="4"/>
      <c r="C751" s="4"/>
      <c r="D751" s="4"/>
      <c r="E751" s="4"/>
      <c r="F751" s="4"/>
      <c r="G751" s="4"/>
      <c r="H751" s="4"/>
      <c r="I751" s="4"/>
    </row>
    <row r="752" ht="15.75" customHeight="1">
      <c r="A752" s="4"/>
      <c r="B752" s="4"/>
      <c r="C752" s="4"/>
      <c r="D752" s="4"/>
      <c r="E752" s="4"/>
      <c r="F752" s="4"/>
      <c r="G752" s="4"/>
      <c r="H752" s="4"/>
      <c r="I752" s="4"/>
    </row>
    <row r="753" ht="15.75" customHeight="1">
      <c r="A753" s="4"/>
      <c r="B753" s="4"/>
      <c r="C753" s="4"/>
      <c r="D753" s="4"/>
      <c r="E753" s="4"/>
      <c r="F753" s="4"/>
      <c r="G753" s="4"/>
      <c r="H753" s="4"/>
      <c r="I753" s="4"/>
    </row>
    <row r="754" ht="15.75" customHeight="1">
      <c r="A754" s="4"/>
      <c r="B754" s="4"/>
      <c r="C754" s="4"/>
      <c r="D754" s="4"/>
      <c r="E754" s="4"/>
      <c r="F754" s="4"/>
      <c r="G754" s="4"/>
      <c r="H754" s="4"/>
      <c r="I754" s="4"/>
    </row>
    <row r="755" ht="15.75" customHeight="1">
      <c r="A755" s="4"/>
      <c r="B755" s="4"/>
      <c r="C755" s="4"/>
      <c r="D755" s="4"/>
      <c r="E755" s="4"/>
      <c r="F755" s="4"/>
      <c r="G755" s="4"/>
      <c r="H755" s="4"/>
      <c r="I755" s="4"/>
    </row>
    <row r="756" ht="15.75" customHeight="1">
      <c r="A756" s="4"/>
      <c r="B756" s="4"/>
      <c r="C756" s="4"/>
      <c r="D756" s="4"/>
      <c r="E756" s="4"/>
      <c r="F756" s="4"/>
      <c r="G756" s="4"/>
      <c r="H756" s="4"/>
      <c r="I756" s="4"/>
    </row>
    <row r="757" ht="15.75" customHeight="1">
      <c r="A757" s="4"/>
      <c r="B757" s="4"/>
      <c r="C757" s="4"/>
      <c r="D757" s="4"/>
      <c r="E757" s="4"/>
      <c r="F757" s="4"/>
      <c r="G757" s="4"/>
      <c r="H757" s="4"/>
      <c r="I757" s="4"/>
    </row>
    <row r="758" ht="15.75" customHeight="1">
      <c r="A758" s="4"/>
      <c r="B758" s="4"/>
      <c r="C758" s="4"/>
      <c r="D758" s="4"/>
      <c r="E758" s="4"/>
      <c r="F758" s="4"/>
      <c r="G758" s="4"/>
      <c r="H758" s="4"/>
      <c r="I758" s="4"/>
    </row>
    <row r="759" ht="15.75" customHeight="1">
      <c r="A759" s="4"/>
      <c r="B759" s="4"/>
      <c r="C759" s="4"/>
      <c r="D759" s="4"/>
      <c r="E759" s="4"/>
      <c r="F759" s="4"/>
      <c r="G759" s="4"/>
      <c r="H759" s="4"/>
      <c r="I759" s="4"/>
    </row>
    <row r="760" ht="15.75" customHeight="1">
      <c r="A760" s="4"/>
      <c r="B760" s="4"/>
      <c r="C760" s="4"/>
      <c r="D760" s="4"/>
      <c r="E760" s="4"/>
      <c r="F760" s="4"/>
      <c r="G760" s="4"/>
      <c r="H760" s="4"/>
      <c r="I760" s="4"/>
    </row>
    <row r="761" ht="15.75" customHeight="1">
      <c r="A761" s="4"/>
      <c r="B761" s="4"/>
      <c r="C761" s="4"/>
      <c r="D761" s="4"/>
      <c r="E761" s="4"/>
      <c r="F761" s="4"/>
      <c r="G761" s="4"/>
      <c r="H761" s="4"/>
      <c r="I761" s="4"/>
    </row>
    <row r="762" ht="15.75" customHeight="1">
      <c r="A762" s="4"/>
      <c r="B762" s="4"/>
      <c r="C762" s="4"/>
      <c r="D762" s="4"/>
      <c r="E762" s="4"/>
      <c r="F762" s="4"/>
      <c r="G762" s="4"/>
      <c r="H762" s="4"/>
      <c r="I762" s="4"/>
    </row>
    <row r="763" ht="15.75" customHeight="1">
      <c r="A763" s="4"/>
      <c r="B763" s="4"/>
      <c r="C763" s="4"/>
      <c r="D763" s="4"/>
      <c r="E763" s="4"/>
      <c r="F763" s="4"/>
      <c r="G763" s="4"/>
      <c r="H763" s="4"/>
      <c r="I763" s="4"/>
    </row>
    <row r="764" ht="15.75" customHeight="1">
      <c r="A764" s="4"/>
      <c r="B764" s="4"/>
      <c r="C764" s="4"/>
      <c r="D764" s="4"/>
      <c r="E764" s="4"/>
      <c r="F764" s="4"/>
      <c r="G764" s="4"/>
      <c r="H764" s="4"/>
      <c r="I764" s="4"/>
    </row>
    <row r="765" ht="15.75" customHeight="1">
      <c r="A765" s="4"/>
      <c r="B765" s="4"/>
      <c r="C765" s="4"/>
      <c r="D765" s="4"/>
      <c r="E765" s="4"/>
      <c r="F765" s="4"/>
      <c r="G765" s="4"/>
      <c r="H765" s="4"/>
      <c r="I765" s="4"/>
    </row>
    <row r="766" ht="15.75" customHeight="1">
      <c r="A766" s="4"/>
      <c r="B766" s="4"/>
      <c r="C766" s="4"/>
      <c r="D766" s="4"/>
      <c r="E766" s="4"/>
      <c r="F766" s="4"/>
      <c r="G766" s="4"/>
      <c r="H766" s="4"/>
      <c r="I766" s="4"/>
    </row>
    <row r="767" ht="15.75" customHeight="1">
      <c r="A767" s="4"/>
      <c r="B767" s="4"/>
      <c r="C767" s="4"/>
      <c r="D767" s="4"/>
      <c r="E767" s="4"/>
      <c r="F767" s="4"/>
      <c r="G767" s="4"/>
      <c r="H767" s="4"/>
      <c r="I767" s="4"/>
    </row>
    <row r="768" ht="15.75" customHeight="1">
      <c r="A768" s="4"/>
      <c r="B768" s="4"/>
      <c r="C768" s="4"/>
      <c r="D768" s="4"/>
      <c r="E768" s="4"/>
      <c r="F768" s="4"/>
      <c r="G768" s="4"/>
      <c r="H768" s="4"/>
      <c r="I768" s="4"/>
    </row>
    <row r="769" ht="15.75" customHeight="1">
      <c r="A769" s="4"/>
      <c r="B769" s="4"/>
      <c r="C769" s="4"/>
      <c r="D769" s="4"/>
      <c r="E769" s="4"/>
      <c r="F769" s="4"/>
      <c r="G769" s="4"/>
      <c r="H769" s="4"/>
      <c r="I769" s="4"/>
    </row>
    <row r="770" ht="15.75" customHeight="1">
      <c r="A770" s="4"/>
      <c r="B770" s="4"/>
      <c r="C770" s="4"/>
      <c r="D770" s="4"/>
      <c r="E770" s="4"/>
      <c r="F770" s="4"/>
      <c r="G770" s="4"/>
      <c r="H770" s="4"/>
      <c r="I770" s="4"/>
    </row>
    <row r="771" ht="15.75" customHeight="1">
      <c r="A771" s="4"/>
      <c r="B771" s="4"/>
      <c r="C771" s="4"/>
      <c r="D771" s="4"/>
      <c r="E771" s="4"/>
      <c r="F771" s="4"/>
      <c r="G771" s="4"/>
      <c r="H771" s="4"/>
      <c r="I771" s="4"/>
    </row>
    <row r="772" ht="15.75" customHeight="1">
      <c r="A772" s="4"/>
      <c r="B772" s="4"/>
      <c r="C772" s="4"/>
      <c r="D772" s="4"/>
      <c r="E772" s="4"/>
      <c r="F772" s="4"/>
      <c r="G772" s="4"/>
      <c r="H772" s="4"/>
      <c r="I772" s="4"/>
    </row>
    <row r="773" ht="15.75" customHeight="1">
      <c r="A773" s="4"/>
      <c r="B773" s="4"/>
      <c r="C773" s="4"/>
      <c r="D773" s="4"/>
      <c r="E773" s="4"/>
      <c r="F773" s="4"/>
      <c r="G773" s="4"/>
      <c r="H773" s="4"/>
      <c r="I773" s="4"/>
    </row>
    <row r="774" ht="15.75" customHeight="1">
      <c r="A774" s="4"/>
      <c r="B774" s="4"/>
      <c r="C774" s="4"/>
      <c r="D774" s="4"/>
      <c r="E774" s="4"/>
      <c r="F774" s="4"/>
      <c r="G774" s="4"/>
      <c r="H774" s="4"/>
      <c r="I774" s="4"/>
    </row>
    <row r="775" ht="15.75" customHeight="1">
      <c r="A775" s="4"/>
      <c r="B775" s="4"/>
      <c r="C775" s="4"/>
      <c r="D775" s="4"/>
      <c r="E775" s="4"/>
      <c r="F775" s="4"/>
      <c r="G775" s="4"/>
      <c r="H775" s="4"/>
      <c r="I775" s="4"/>
    </row>
    <row r="776" ht="15.75" customHeight="1">
      <c r="A776" s="4"/>
      <c r="B776" s="4"/>
      <c r="C776" s="4"/>
      <c r="D776" s="4"/>
      <c r="E776" s="4"/>
      <c r="F776" s="4"/>
      <c r="G776" s="4"/>
      <c r="H776" s="4"/>
      <c r="I776" s="4"/>
    </row>
    <row r="777" ht="15.75" customHeight="1">
      <c r="A777" s="4"/>
      <c r="B777" s="4"/>
      <c r="C777" s="4"/>
      <c r="D777" s="4"/>
      <c r="E777" s="4"/>
      <c r="F777" s="4"/>
      <c r="G777" s="4"/>
      <c r="H777" s="4"/>
      <c r="I777" s="4"/>
    </row>
    <row r="778" ht="15.75" customHeight="1">
      <c r="A778" s="4"/>
      <c r="B778" s="4"/>
      <c r="C778" s="4"/>
      <c r="D778" s="4"/>
      <c r="E778" s="4"/>
      <c r="F778" s="4"/>
      <c r="G778" s="4"/>
      <c r="H778" s="4"/>
      <c r="I778" s="4"/>
    </row>
    <row r="779" ht="15.75" customHeight="1">
      <c r="A779" s="4"/>
      <c r="B779" s="4"/>
      <c r="C779" s="4"/>
      <c r="D779" s="4"/>
      <c r="E779" s="4"/>
      <c r="F779" s="4"/>
      <c r="G779" s="4"/>
      <c r="H779" s="4"/>
      <c r="I779" s="4"/>
    </row>
    <row r="780" ht="15.75" customHeight="1">
      <c r="A780" s="4"/>
      <c r="B780" s="4"/>
      <c r="C780" s="4"/>
      <c r="D780" s="4"/>
      <c r="E780" s="4"/>
      <c r="F780" s="4"/>
      <c r="G780" s="4"/>
      <c r="H780" s="4"/>
      <c r="I780" s="4"/>
    </row>
    <row r="781" ht="15.75" customHeight="1">
      <c r="A781" s="4"/>
      <c r="B781" s="4"/>
      <c r="C781" s="4"/>
      <c r="D781" s="4"/>
      <c r="E781" s="4"/>
      <c r="F781" s="4"/>
      <c r="G781" s="4"/>
      <c r="H781" s="4"/>
      <c r="I781" s="4"/>
    </row>
    <row r="782" ht="15.75" customHeight="1">
      <c r="A782" s="4"/>
      <c r="B782" s="4"/>
      <c r="C782" s="4"/>
      <c r="D782" s="4"/>
      <c r="E782" s="4"/>
      <c r="F782" s="4"/>
      <c r="G782" s="4"/>
      <c r="H782" s="4"/>
      <c r="I782" s="4"/>
    </row>
    <row r="783" ht="15.75" customHeight="1">
      <c r="A783" s="4"/>
      <c r="B783" s="4"/>
      <c r="C783" s="4"/>
      <c r="D783" s="4"/>
      <c r="E783" s="4"/>
      <c r="F783" s="4"/>
      <c r="G783" s="4"/>
      <c r="H783" s="4"/>
      <c r="I783" s="4"/>
    </row>
    <row r="784" ht="15.75" customHeight="1">
      <c r="A784" s="4"/>
      <c r="B784" s="4"/>
      <c r="C784" s="4"/>
      <c r="D784" s="4"/>
      <c r="E784" s="4"/>
      <c r="F784" s="4"/>
      <c r="G784" s="4"/>
      <c r="H784" s="4"/>
      <c r="I784" s="4"/>
    </row>
    <row r="785" ht="15.75" customHeight="1">
      <c r="A785" s="4"/>
      <c r="B785" s="4"/>
      <c r="C785" s="4"/>
      <c r="D785" s="4"/>
      <c r="E785" s="4"/>
      <c r="F785" s="4"/>
      <c r="G785" s="4"/>
      <c r="H785" s="4"/>
      <c r="I785" s="4"/>
    </row>
    <row r="786" ht="15.75" customHeight="1">
      <c r="A786" s="4"/>
      <c r="B786" s="4"/>
      <c r="C786" s="4"/>
      <c r="D786" s="4"/>
      <c r="E786" s="4"/>
      <c r="F786" s="4"/>
      <c r="G786" s="4"/>
      <c r="H786" s="4"/>
      <c r="I786" s="4"/>
    </row>
    <row r="787" ht="15.75" customHeight="1">
      <c r="A787" s="4"/>
      <c r="B787" s="4"/>
      <c r="C787" s="4"/>
      <c r="D787" s="4"/>
      <c r="E787" s="4"/>
      <c r="F787" s="4"/>
      <c r="G787" s="4"/>
      <c r="H787" s="4"/>
      <c r="I787" s="4"/>
    </row>
    <row r="788" ht="15.75" customHeight="1">
      <c r="A788" s="4"/>
      <c r="B788" s="4"/>
      <c r="C788" s="4"/>
      <c r="D788" s="4"/>
      <c r="E788" s="4"/>
      <c r="F788" s="4"/>
      <c r="G788" s="4"/>
      <c r="H788" s="4"/>
      <c r="I788" s="4"/>
    </row>
    <row r="789" ht="15.75" customHeight="1">
      <c r="A789" s="4"/>
      <c r="B789" s="4"/>
      <c r="C789" s="4"/>
      <c r="D789" s="4"/>
      <c r="E789" s="4"/>
      <c r="F789" s="4"/>
      <c r="G789" s="4"/>
      <c r="H789" s="4"/>
      <c r="I789" s="4"/>
    </row>
    <row r="790" ht="15.75" customHeight="1">
      <c r="A790" s="4"/>
      <c r="B790" s="4"/>
      <c r="C790" s="4"/>
      <c r="D790" s="4"/>
      <c r="E790" s="4"/>
      <c r="F790" s="4"/>
      <c r="G790" s="4"/>
      <c r="H790" s="4"/>
      <c r="I790" s="4"/>
    </row>
    <row r="791" ht="15.75" customHeight="1">
      <c r="A791" s="4"/>
      <c r="B791" s="4"/>
      <c r="C791" s="4"/>
      <c r="D791" s="4"/>
      <c r="E791" s="4"/>
      <c r="F791" s="4"/>
      <c r="G791" s="4"/>
      <c r="H791" s="4"/>
      <c r="I791" s="4"/>
    </row>
    <row r="792" ht="15.75" customHeight="1">
      <c r="A792" s="4"/>
      <c r="B792" s="4"/>
      <c r="C792" s="4"/>
      <c r="D792" s="4"/>
      <c r="E792" s="4"/>
      <c r="F792" s="4"/>
      <c r="G792" s="4"/>
      <c r="H792" s="4"/>
      <c r="I792" s="4"/>
    </row>
    <row r="793" ht="15.75" customHeight="1">
      <c r="A793" s="4"/>
      <c r="B793" s="4"/>
      <c r="C793" s="4"/>
      <c r="D793" s="4"/>
      <c r="E793" s="4"/>
      <c r="F793" s="4"/>
      <c r="G793" s="4"/>
      <c r="H793" s="4"/>
      <c r="I793" s="4"/>
    </row>
    <row r="794" ht="15.75" customHeight="1">
      <c r="A794" s="4"/>
      <c r="B794" s="4"/>
      <c r="C794" s="4"/>
      <c r="D794" s="4"/>
      <c r="E794" s="4"/>
      <c r="F794" s="4"/>
      <c r="G794" s="4"/>
      <c r="H794" s="4"/>
      <c r="I794" s="4"/>
    </row>
    <row r="795" ht="15.75" customHeight="1">
      <c r="A795" s="4"/>
      <c r="B795" s="4"/>
      <c r="C795" s="4"/>
      <c r="D795" s="4"/>
      <c r="E795" s="4"/>
      <c r="F795" s="4"/>
      <c r="G795" s="4"/>
      <c r="H795" s="4"/>
      <c r="I795" s="4"/>
    </row>
    <row r="796" ht="15.75" customHeight="1">
      <c r="A796" s="4"/>
      <c r="B796" s="4"/>
      <c r="C796" s="4"/>
      <c r="D796" s="4"/>
      <c r="E796" s="4"/>
      <c r="F796" s="4"/>
      <c r="G796" s="4"/>
      <c r="H796" s="4"/>
      <c r="I796" s="4"/>
    </row>
    <row r="797" ht="15.75" customHeight="1">
      <c r="A797" s="4"/>
      <c r="B797" s="4"/>
      <c r="C797" s="4"/>
      <c r="D797" s="4"/>
      <c r="E797" s="4"/>
      <c r="F797" s="4"/>
      <c r="G797" s="4"/>
      <c r="H797" s="4"/>
      <c r="I797" s="4"/>
    </row>
    <row r="798" ht="15.75" customHeight="1">
      <c r="A798" s="4"/>
      <c r="B798" s="4"/>
      <c r="C798" s="4"/>
      <c r="D798" s="4"/>
      <c r="E798" s="4"/>
      <c r="F798" s="4"/>
      <c r="G798" s="4"/>
      <c r="H798" s="4"/>
      <c r="I798" s="4"/>
    </row>
    <row r="799" ht="15.75" customHeight="1">
      <c r="A799" s="4"/>
      <c r="B799" s="4"/>
      <c r="C799" s="4"/>
      <c r="D799" s="4"/>
      <c r="E799" s="4"/>
      <c r="F799" s="4"/>
      <c r="G799" s="4"/>
      <c r="H799" s="4"/>
      <c r="I799" s="4"/>
    </row>
    <row r="800" ht="15.75" customHeight="1">
      <c r="A800" s="4"/>
      <c r="B800" s="4"/>
      <c r="C800" s="4"/>
      <c r="D800" s="4"/>
      <c r="E800" s="4"/>
      <c r="F800" s="4"/>
      <c r="G800" s="4"/>
      <c r="H800" s="4"/>
      <c r="I800" s="4"/>
    </row>
    <row r="801" ht="15.75" customHeight="1">
      <c r="A801" s="4"/>
      <c r="B801" s="4"/>
      <c r="C801" s="4"/>
      <c r="D801" s="4"/>
      <c r="E801" s="4"/>
      <c r="F801" s="4"/>
      <c r="G801" s="4"/>
      <c r="H801" s="4"/>
      <c r="I801" s="4"/>
    </row>
    <row r="802" ht="15.75" customHeight="1">
      <c r="A802" s="4"/>
      <c r="B802" s="4"/>
      <c r="C802" s="4"/>
      <c r="D802" s="4"/>
      <c r="E802" s="4"/>
      <c r="F802" s="4"/>
      <c r="G802" s="4"/>
      <c r="H802" s="4"/>
      <c r="I802" s="4"/>
    </row>
    <row r="803" ht="15.75" customHeight="1">
      <c r="A803" s="4"/>
      <c r="B803" s="4"/>
      <c r="C803" s="4"/>
      <c r="D803" s="4"/>
      <c r="E803" s="4"/>
      <c r="F803" s="4"/>
      <c r="G803" s="4"/>
      <c r="H803" s="4"/>
      <c r="I803" s="4"/>
    </row>
    <row r="804" ht="15.75" customHeight="1">
      <c r="A804" s="4"/>
      <c r="B804" s="4"/>
      <c r="C804" s="4"/>
      <c r="D804" s="4"/>
      <c r="E804" s="4"/>
      <c r="F804" s="4"/>
      <c r="G804" s="4"/>
      <c r="H804" s="4"/>
      <c r="I804" s="4"/>
    </row>
    <row r="805" ht="15.75" customHeight="1">
      <c r="A805" s="4"/>
      <c r="B805" s="4"/>
      <c r="C805" s="4"/>
      <c r="D805" s="4"/>
      <c r="E805" s="4"/>
      <c r="F805" s="4"/>
      <c r="G805" s="4"/>
      <c r="H805" s="4"/>
      <c r="I805" s="4"/>
    </row>
    <row r="806" ht="15.75" customHeight="1">
      <c r="A806" s="4"/>
      <c r="B806" s="4"/>
      <c r="C806" s="4"/>
      <c r="D806" s="4"/>
      <c r="E806" s="4"/>
      <c r="F806" s="4"/>
      <c r="G806" s="4"/>
      <c r="H806" s="4"/>
      <c r="I806" s="4"/>
    </row>
    <row r="807" ht="15.75" customHeight="1">
      <c r="A807" s="4"/>
      <c r="B807" s="4"/>
      <c r="C807" s="4"/>
      <c r="D807" s="4"/>
      <c r="E807" s="4"/>
      <c r="F807" s="4"/>
      <c r="G807" s="4"/>
      <c r="H807" s="4"/>
      <c r="I807" s="4"/>
    </row>
    <row r="808" ht="15.75" customHeight="1">
      <c r="A808" s="4"/>
      <c r="B808" s="4"/>
      <c r="C808" s="4"/>
      <c r="D808" s="4"/>
      <c r="E808" s="4"/>
      <c r="F808" s="4"/>
      <c r="G808" s="4"/>
      <c r="H808" s="4"/>
      <c r="I808" s="4"/>
    </row>
    <row r="809" ht="15.75" customHeight="1">
      <c r="A809" s="4"/>
      <c r="B809" s="4"/>
      <c r="C809" s="4"/>
      <c r="D809" s="4"/>
      <c r="E809" s="4"/>
      <c r="F809" s="4"/>
      <c r="G809" s="4"/>
      <c r="H809" s="4"/>
      <c r="I809" s="4"/>
    </row>
    <row r="810" ht="15.75" customHeight="1">
      <c r="A810" s="4"/>
      <c r="B810" s="4"/>
      <c r="C810" s="4"/>
      <c r="D810" s="4"/>
      <c r="E810" s="4"/>
      <c r="F810" s="4"/>
      <c r="G810" s="4"/>
      <c r="H810" s="4"/>
      <c r="I810" s="4"/>
    </row>
    <row r="811" ht="15.75" customHeight="1">
      <c r="A811" s="4"/>
      <c r="B811" s="4"/>
      <c r="C811" s="4"/>
      <c r="D811" s="4"/>
      <c r="E811" s="4"/>
      <c r="F811" s="4"/>
      <c r="G811" s="4"/>
      <c r="H811" s="4"/>
      <c r="I811" s="4"/>
    </row>
    <row r="812" ht="15.75" customHeight="1">
      <c r="A812" s="4"/>
      <c r="B812" s="4"/>
      <c r="C812" s="4"/>
      <c r="D812" s="4"/>
      <c r="E812" s="4"/>
      <c r="F812" s="4"/>
      <c r="G812" s="4"/>
      <c r="H812" s="4"/>
      <c r="I812" s="4"/>
    </row>
    <row r="813" ht="15.75" customHeight="1">
      <c r="A813" s="4"/>
      <c r="B813" s="4"/>
      <c r="C813" s="4"/>
      <c r="D813" s="4"/>
      <c r="E813" s="4"/>
      <c r="F813" s="4"/>
      <c r="G813" s="4"/>
      <c r="H813" s="4"/>
      <c r="I813" s="4"/>
    </row>
    <row r="814" ht="15.75" customHeight="1">
      <c r="A814" s="4"/>
      <c r="B814" s="4"/>
      <c r="C814" s="4"/>
      <c r="D814" s="4"/>
      <c r="E814" s="4"/>
      <c r="F814" s="4"/>
      <c r="G814" s="4"/>
      <c r="H814" s="4"/>
      <c r="I814" s="4"/>
    </row>
    <row r="815" ht="15.75" customHeight="1">
      <c r="A815" s="4"/>
      <c r="B815" s="4"/>
      <c r="C815" s="4"/>
      <c r="D815" s="4"/>
      <c r="E815" s="4"/>
      <c r="F815" s="4"/>
      <c r="G815" s="4"/>
      <c r="H815" s="4"/>
      <c r="I815" s="4"/>
    </row>
    <row r="816" ht="15.75" customHeight="1">
      <c r="A816" s="4"/>
      <c r="B816" s="4"/>
      <c r="C816" s="4"/>
      <c r="D816" s="4"/>
      <c r="E816" s="4"/>
      <c r="F816" s="4"/>
      <c r="G816" s="4"/>
      <c r="H816" s="4"/>
      <c r="I816" s="4"/>
    </row>
    <row r="817" ht="15.75" customHeight="1">
      <c r="A817" s="4"/>
      <c r="B817" s="4"/>
      <c r="C817" s="4"/>
      <c r="D817" s="4"/>
      <c r="E817" s="4"/>
      <c r="F817" s="4"/>
      <c r="G817" s="4"/>
      <c r="H817" s="4"/>
      <c r="I817" s="4"/>
    </row>
    <row r="818" ht="15.75" customHeight="1">
      <c r="A818" s="4"/>
      <c r="B818" s="4"/>
      <c r="C818" s="4"/>
      <c r="D818" s="4"/>
      <c r="E818" s="4"/>
      <c r="F818" s="4"/>
      <c r="G818" s="4"/>
      <c r="H818" s="4"/>
      <c r="I818" s="4"/>
    </row>
    <row r="819" ht="15.75" customHeight="1">
      <c r="A819" s="4"/>
      <c r="B819" s="4"/>
      <c r="C819" s="4"/>
      <c r="D819" s="4"/>
      <c r="E819" s="4"/>
      <c r="F819" s="4"/>
      <c r="G819" s="4"/>
      <c r="H819" s="4"/>
      <c r="I819" s="4"/>
    </row>
    <row r="820" ht="15.75" customHeight="1">
      <c r="A820" s="4"/>
      <c r="B820" s="4"/>
      <c r="C820" s="4"/>
      <c r="D820" s="4"/>
      <c r="E820" s="4"/>
      <c r="F820" s="4"/>
      <c r="G820" s="4"/>
      <c r="H820" s="4"/>
      <c r="I820" s="4"/>
    </row>
    <row r="821" ht="15.75" customHeight="1">
      <c r="A821" s="4"/>
      <c r="B821" s="4"/>
      <c r="C821" s="4"/>
      <c r="D821" s="4"/>
      <c r="E821" s="4"/>
      <c r="F821" s="4"/>
      <c r="G821" s="4"/>
      <c r="H821" s="4"/>
      <c r="I821" s="4"/>
    </row>
    <row r="822" ht="15.75" customHeight="1">
      <c r="A822" s="4"/>
      <c r="B822" s="4"/>
      <c r="C822" s="4"/>
      <c r="D822" s="4"/>
      <c r="E822" s="4"/>
      <c r="F822" s="4"/>
      <c r="G822" s="4"/>
      <c r="H822" s="4"/>
      <c r="I822" s="4"/>
    </row>
    <row r="823" ht="15.75" customHeight="1">
      <c r="A823" s="4"/>
      <c r="B823" s="4"/>
      <c r="C823" s="4"/>
      <c r="D823" s="4"/>
      <c r="E823" s="4"/>
      <c r="F823" s="4"/>
      <c r="G823" s="4"/>
      <c r="H823" s="4"/>
      <c r="I823" s="4"/>
    </row>
    <row r="824" ht="15.75" customHeight="1">
      <c r="A824" s="4"/>
      <c r="B824" s="4"/>
      <c r="C824" s="4"/>
      <c r="D824" s="4"/>
      <c r="E824" s="4"/>
      <c r="F824" s="4"/>
      <c r="G824" s="4"/>
      <c r="H824" s="4"/>
      <c r="I824" s="4"/>
    </row>
    <row r="825" ht="15.75" customHeight="1">
      <c r="A825" s="4"/>
      <c r="B825" s="4"/>
      <c r="C825" s="4"/>
      <c r="D825" s="4"/>
      <c r="E825" s="4"/>
      <c r="F825" s="4"/>
      <c r="G825" s="4"/>
      <c r="H825" s="4"/>
      <c r="I825" s="4"/>
    </row>
    <row r="826" ht="15.75" customHeight="1">
      <c r="A826" s="4"/>
      <c r="B826" s="4"/>
      <c r="C826" s="4"/>
      <c r="D826" s="4"/>
      <c r="E826" s="4"/>
      <c r="F826" s="4"/>
      <c r="G826" s="4"/>
      <c r="H826" s="4"/>
      <c r="I826" s="4"/>
    </row>
    <row r="827" ht="15.75" customHeight="1">
      <c r="A827" s="4"/>
      <c r="B827" s="4"/>
      <c r="C827" s="4"/>
      <c r="D827" s="4"/>
      <c r="E827" s="4"/>
      <c r="F827" s="4"/>
      <c r="G827" s="4"/>
      <c r="H827" s="4"/>
      <c r="I827" s="4"/>
    </row>
    <row r="828" ht="15.75" customHeight="1">
      <c r="A828" s="4"/>
      <c r="B828" s="4"/>
      <c r="C828" s="4"/>
      <c r="D828" s="4"/>
      <c r="E828" s="4"/>
      <c r="F828" s="4"/>
      <c r="G828" s="4"/>
      <c r="H828" s="4"/>
      <c r="I828" s="4"/>
    </row>
    <row r="829" ht="15.75" customHeight="1">
      <c r="A829" s="4"/>
      <c r="B829" s="4"/>
      <c r="C829" s="4"/>
      <c r="D829" s="4"/>
      <c r="E829" s="4"/>
      <c r="F829" s="4"/>
      <c r="G829" s="4"/>
      <c r="H829" s="4"/>
      <c r="I829" s="4"/>
    </row>
    <row r="830" ht="15.75" customHeight="1">
      <c r="A830" s="4"/>
      <c r="B830" s="4"/>
      <c r="C830" s="4"/>
      <c r="D830" s="4"/>
      <c r="E830" s="4"/>
      <c r="F830" s="4"/>
      <c r="G830" s="4"/>
      <c r="H830" s="4"/>
      <c r="I830" s="4"/>
    </row>
    <row r="831" ht="15.75" customHeight="1">
      <c r="A831" s="4"/>
      <c r="B831" s="4"/>
      <c r="C831" s="4"/>
      <c r="D831" s="4"/>
      <c r="E831" s="4"/>
      <c r="F831" s="4"/>
      <c r="G831" s="4"/>
      <c r="H831" s="4"/>
      <c r="I831" s="4"/>
    </row>
    <row r="832" ht="15.75" customHeight="1">
      <c r="A832" s="4"/>
      <c r="B832" s="4"/>
      <c r="C832" s="4"/>
      <c r="D832" s="4"/>
      <c r="E832" s="4"/>
      <c r="F832" s="4"/>
      <c r="G832" s="4"/>
      <c r="H832" s="4"/>
      <c r="I832" s="4"/>
    </row>
    <row r="833" ht="15.75" customHeight="1">
      <c r="A833" s="4"/>
      <c r="B833" s="4"/>
      <c r="C833" s="4"/>
      <c r="D833" s="4"/>
      <c r="E833" s="4"/>
      <c r="F833" s="4"/>
      <c r="G833" s="4"/>
      <c r="H833" s="4"/>
      <c r="I833" s="4"/>
    </row>
    <row r="834" ht="15.75" customHeight="1">
      <c r="A834" s="4"/>
      <c r="B834" s="4"/>
      <c r="C834" s="4"/>
      <c r="D834" s="4"/>
      <c r="E834" s="4"/>
      <c r="F834" s="4"/>
      <c r="G834" s="4"/>
      <c r="H834" s="4"/>
      <c r="I834" s="4"/>
    </row>
    <row r="835" ht="15.75" customHeight="1">
      <c r="A835" s="4"/>
      <c r="B835" s="4"/>
      <c r="C835" s="4"/>
      <c r="D835" s="4"/>
      <c r="E835" s="4"/>
      <c r="F835" s="4"/>
      <c r="G835" s="4"/>
      <c r="H835" s="4"/>
      <c r="I835" s="4"/>
    </row>
    <row r="836" ht="15.75" customHeight="1">
      <c r="A836" s="4"/>
      <c r="B836" s="4"/>
      <c r="C836" s="4"/>
      <c r="D836" s="4"/>
      <c r="E836" s="4"/>
      <c r="F836" s="4"/>
      <c r="G836" s="4"/>
      <c r="H836" s="4"/>
      <c r="I836" s="4"/>
    </row>
    <row r="837" ht="15.75" customHeight="1">
      <c r="A837" s="4"/>
      <c r="B837" s="4"/>
      <c r="C837" s="4"/>
      <c r="D837" s="4"/>
      <c r="E837" s="4"/>
      <c r="F837" s="4"/>
      <c r="G837" s="4"/>
      <c r="H837" s="4"/>
      <c r="I837" s="4"/>
    </row>
    <row r="838" ht="15.75" customHeight="1">
      <c r="A838" s="4"/>
      <c r="B838" s="4"/>
      <c r="C838" s="4"/>
      <c r="D838" s="4"/>
      <c r="E838" s="4"/>
      <c r="F838" s="4"/>
      <c r="G838" s="4"/>
      <c r="H838" s="4"/>
      <c r="I838" s="4"/>
    </row>
    <row r="839" ht="15.75" customHeight="1">
      <c r="A839" s="4"/>
      <c r="B839" s="4"/>
      <c r="C839" s="4"/>
      <c r="D839" s="4"/>
      <c r="E839" s="4"/>
      <c r="F839" s="4"/>
      <c r="G839" s="4"/>
      <c r="H839" s="4"/>
      <c r="I839" s="4"/>
    </row>
    <row r="840" ht="15.75" customHeight="1">
      <c r="A840" s="4"/>
      <c r="B840" s="4"/>
      <c r="C840" s="4"/>
      <c r="D840" s="4"/>
      <c r="E840" s="4"/>
      <c r="F840" s="4"/>
      <c r="G840" s="4"/>
      <c r="H840" s="4"/>
      <c r="I840" s="4"/>
    </row>
    <row r="841" ht="15.75" customHeight="1">
      <c r="A841" s="4"/>
      <c r="B841" s="4"/>
      <c r="C841" s="4"/>
      <c r="D841" s="4"/>
      <c r="E841" s="4"/>
      <c r="F841" s="4"/>
      <c r="G841" s="4"/>
      <c r="H841" s="4"/>
      <c r="I841" s="4"/>
    </row>
    <row r="842" ht="15.75" customHeight="1">
      <c r="A842" s="4"/>
      <c r="B842" s="4"/>
      <c r="C842" s="4"/>
      <c r="D842" s="4"/>
      <c r="E842" s="4"/>
      <c r="F842" s="4"/>
      <c r="G842" s="4"/>
      <c r="H842" s="4"/>
      <c r="I842" s="4"/>
    </row>
    <row r="843" ht="15.75" customHeight="1">
      <c r="A843" s="4"/>
      <c r="B843" s="4"/>
      <c r="C843" s="4"/>
      <c r="D843" s="4"/>
      <c r="E843" s="4"/>
      <c r="F843" s="4"/>
      <c r="G843" s="4"/>
      <c r="H843" s="4"/>
      <c r="I843" s="4"/>
    </row>
    <row r="844" ht="15.75" customHeight="1">
      <c r="A844" s="4"/>
      <c r="B844" s="4"/>
      <c r="C844" s="4"/>
      <c r="D844" s="4"/>
      <c r="E844" s="4"/>
      <c r="F844" s="4"/>
      <c r="G844" s="4"/>
      <c r="H844" s="4"/>
      <c r="I844" s="4"/>
    </row>
    <row r="845" ht="15.75" customHeight="1">
      <c r="A845" s="4"/>
      <c r="B845" s="4"/>
      <c r="C845" s="4"/>
      <c r="D845" s="4"/>
      <c r="E845" s="4"/>
      <c r="F845" s="4"/>
      <c r="G845" s="4"/>
      <c r="H845" s="4"/>
      <c r="I845" s="4"/>
    </row>
    <row r="846" ht="15.75" customHeight="1">
      <c r="A846" s="4"/>
      <c r="B846" s="4"/>
      <c r="C846" s="4"/>
      <c r="D846" s="4"/>
      <c r="E846" s="4"/>
      <c r="F846" s="4"/>
      <c r="G846" s="4"/>
      <c r="H846" s="4"/>
      <c r="I846" s="4"/>
    </row>
    <row r="847" ht="15.75" customHeight="1">
      <c r="A847" s="4"/>
      <c r="B847" s="4"/>
      <c r="C847" s="4"/>
      <c r="D847" s="4"/>
      <c r="E847" s="4"/>
      <c r="F847" s="4"/>
      <c r="G847" s="4"/>
      <c r="H847" s="4"/>
      <c r="I847" s="4"/>
    </row>
    <row r="848" ht="15.75" customHeight="1">
      <c r="A848" s="4"/>
      <c r="B848" s="4"/>
      <c r="C848" s="4"/>
      <c r="D848" s="4"/>
      <c r="E848" s="4"/>
      <c r="F848" s="4"/>
      <c r="G848" s="4"/>
      <c r="H848" s="4"/>
      <c r="I848" s="4"/>
    </row>
    <row r="849" ht="15.75" customHeight="1">
      <c r="A849" s="4"/>
      <c r="B849" s="4"/>
      <c r="C849" s="4"/>
      <c r="D849" s="4"/>
      <c r="E849" s="4"/>
      <c r="F849" s="4"/>
      <c r="G849" s="4"/>
      <c r="H849" s="4"/>
      <c r="I849" s="4"/>
    </row>
    <row r="850" ht="15.75" customHeight="1">
      <c r="A850" s="4"/>
      <c r="B850" s="4"/>
      <c r="C850" s="4"/>
      <c r="D850" s="4"/>
      <c r="E850" s="4"/>
      <c r="F850" s="4"/>
      <c r="G850" s="4"/>
      <c r="H850" s="4"/>
      <c r="I850" s="4"/>
    </row>
    <row r="851" ht="15.75" customHeight="1">
      <c r="A851" s="4"/>
      <c r="B851" s="4"/>
      <c r="C851" s="4"/>
      <c r="D851" s="4"/>
      <c r="E851" s="4"/>
      <c r="F851" s="4"/>
      <c r="G851" s="4"/>
      <c r="H851" s="4"/>
      <c r="I851" s="4"/>
    </row>
    <row r="852" ht="15.75" customHeight="1">
      <c r="A852" s="4"/>
      <c r="B852" s="4"/>
      <c r="C852" s="4"/>
      <c r="D852" s="4"/>
      <c r="E852" s="4"/>
      <c r="F852" s="4"/>
      <c r="G852" s="4"/>
      <c r="H852" s="4"/>
      <c r="I852" s="4"/>
    </row>
    <row r="853" ht="15.75" customHeight="1">
      <c r="A853" s="4"/>
      <c r="B853" s="4"/>
      <c r="C853" s="4"/>
      <c r="D853" s="4"/>
      <c r="E853" s="4"/>
      <c r="F853" s="4"/>
      <c r="G853" s="4"/>
      <c r="H853" s="4"/>
      <c r="I853" s="4"/>
    </row>
    <row r="854" ht="15.75" customHeight="1">
      <c r="A854" s="4"/>
      <c r="B854" s="4"/>
      <c r="C854" s="4"/>
      <c r="D854" s="4"/>
      <c r="E854" s="4"/>
      <c r="F854" s="4"/>
      <c r="G854" s="4"/>
      <c r="H854" s="4"/>
      <c r="I854" s="4"/>
    </row>
    <row r="855" ht="15.75" customHeight="1">
      <c r="A855" s="4"/>
      <c r="B855" s="4"/>
      <c r="C855" s="4"/>
      <c r="D855" s="4"/>
      <c r="E855" s="4"/>
      <c r="F855" s="4"/>
      <c r="G855" s="4"/>
      <c r="H855" s="4"/>
      <c r="I855" s="4"/>
    </row>
    <row r="856" ht="15.75" customHeight="1">
      <c r="A856" s="4"/>
      <c r="B856" s="4"/>
      <c r="C856" s="4"/>
      <c r="D856" s="4"/>
      <c r="E856" s="4"/>
      <c r="F856" s="4"/>
      <c r="G856" s="4"/>
      <c r="H856" s="4"/>
      <c r="I856" s="4"/>
    </row>
    <row r="857" ht="15.75" customHeight="1">
      <c r="A857" s="4"/>
      <c r="B857" s="4"/>
      <c r="C857" s="4"/>
      <c r="D857" s="4"/>
      <c r="E857" s="4"/>
      <c r="F857" s="4"/>
      <c r="G857" s="4"/>
      <c r="H857" s="4"/>
      <c r="I857" s="4"/>
    </row>
    <row r="858" ht="15.75" customHeight="1">
      <c r="A858" s="4"/>
      <c r="B858" s="4"/>
      <c r="C858" s="4"/>
      <c r="D858" s="4"/>
      <c r="E858" s="4"/>
      <c r="F858" s="4"/>
      <c r="G858" s="4"/>
      <c r="H858" s="4"/>
      <c r="I858" s="4"/>
    </row>
    <row r="859" ht="15.75" customHeight="1">
      <c r="A859" s="4"/>
      <c r="B859" s="4"/>
      <c r="C859" s="4"/>
      <c r="D859" s="4"/>
      <c r="E859" s="4"/>
      <c r="F859" s="4"/>
      <c r="G859" s="4"/>
      <c r="H859" s="4"/>
      <c r="I859" s="4"/>
    </row>
    <row r="860" ht="15.75" customHeight="1">
      <c r="A860" s="4"/>
      <c r="B860" s="4"/>
      <c r="C860" s="4"/>
      <c r="D860" s="4"/>
      <c r="E860" s="4"/>
      <c r="F860" s="4"/>
      <c r="G860" s="4"/>
      <c r="H860" s="4"/>
      <c r="I860" s="4"/>
    </row>
    <row r="861" ht="15.75" customHeight="1">
      <c r="A861" s="4"/>
      <c r="B861" s="4"/>
      <c r="C861" s="4"/>
      <c r="D861" s="4"/>
      <c r="E861" s="4"/>
      <c r="F861" s="4"/>
      <c r="G861" s="4"/>
      <c r="H861" s="4"/>
      <c r="I861" s="4"/>
    </row>
    <row r="862" ht="15.75" customHeight="1">
      <c r="A862" s="4"/>
      <c r="B862" s="4"/>
      <c r="C862" s="4"/>
      <c r="D862" s="4"/>
      <c r="E862" s="4"/>
      <c r="F862" s="4"/>
      <c r="G862" s="4"/>
      <c r="H862" s="4"/>
      <c r="I862" s="4"/>
    </row>
    <row r="863" ht="15.75" customHeight="1">
      <c r="A863" s="4"/>
      <c r="B863" s="4"/>
      <c r="C863" s="4"/>
      <c r="D863" s="4"/>
      <c r="E863" s="4"/>
      <c r="F863" s="4"/>
      <c r="G863" s="4"/>
      <c r="H863" s="4"/>
      <c r="I863" s="4"/>
    </row>
    <row r="864" ht="15.75" customHeight="1">
      <c r="A864" s="4"/>
      <c r="B864" s="4"/>
      <c r="C864" s="4"/>
      <c r="D864" s="4"/>
      <c r="E864" s="4"/>
      <c r="F864" s="4"/>
      <c r="G864" s="4"/>
      <c r="H864" s="4"/>
      <c r="I864" s="4"/>
    </row>
    <row r="865" ht="15.75" customHeight="1">
      <c r="A865" s="4"/>
      <c r="B865" s="4"/>
      <c r="C865" s="4"/>
      <c r="D865" s="4"/>
      <c r="E865" s="4"/>
      <c r="F865" s="4"/>
      <c r="G865" s="4"/>
      <c r="H865" s="4"/>
      <c r="I865" s="4"/>
    </row>
    <row r="866" ht="15.75" customHeight="1">
      <c r="A866" s="4"/>
      <c r="B866" s="4"/>
      <c r="C866" s="4"/>
      <c r="D866" s="4"/>
      <c r="E866" s="4"/>
      <c r="F866" s="4"/>
      <c r="G866" s="4"/>
      <c r="H866" s="4"/>
      <c r="I866" s="4"/>
    </row>
    <row r="867" ht="15.75" customHeight="1">
      <c r="A867" s="4"/>
      <c r="B867" s="4"/>
      <c r="C867" s="4"/>
      <c r="D867" s="4"/>
      <c r="E867" s="4"/>
      <c r="F867" s="4"/>
      <c r="G867" s="4"/>
      <c r="H867" s="4"/>
      <c r="I867" s="4"/>
    </row>
    <row r="868" ht="15.75" customHeight="1">
      <c r="A868" s="4"/>
      <c r="B868" s="4"/>
      <c r="C868" s="4"/>
      <c r="D868" s="4"/>
      <c r="E868" s="4"/>
      <c r="F868" s="4"/>
      <c r="G868" s="4"/>
      <c r="H868" s="4"/>
      <c r="I868" s="4"/>
    </row>
    <row r="869" ht="15.75" customHeight="1">
      <c r="A869" s="4"/>
      <c r="B869" s="4"/>
      <c r="C869" s="4"/>
      <c r="D869" s="4"/>
      <c r="E869" s="4"/>
      <c r="F869" s="4"/>
      <c r="G869" s="4"/>
      <c r="H869" s="4"/>
      <c r="I869" s="4"/>
    </row>
    <row r="870" ht="15.75" customHeight="1">
      <c r="A870" s="4"/>
      <c r="B870" s="4"/>
      <c r="C870" s="4"/>
      <c r="D870" s="4"/>
      <c r="E870" s="4"/>
      <c r="F870" s="4"/>
      <c r="G870" s="4"/>
      <c r="H870" s="4"/>
      <c r="I870" s="4"/>
    </row>
    <row r="871" ht="15.75" customHeight="1">
      <c r="A871" s="4"/>
      <c r="B871" s="4"/>
      <c r="C871" s="4"/>
      <c r="D871" s="4"/>
      <c r="E871" s="4"/>
      <c r="F871" s="4"/>
      <c r="G871" s="4"/>
      <c r="H871" s="4"/>
      <c r="I871" s="4"/>
    </row>
    <row r="872" ht="15.75" customHeight="1">
      <c r="A872" s="4"/>
      <c r="B872" s="4"/>
      <c r="C872" s="4"/>
      <c r="D872" s="4"/>
      <c r="E872" s="4"/>
      <c r="F872" s="4"/>
      <c r="G872" s="4"/>
      <c r="H872" s="4"/>
      <c r="I872" s="4"/>
    </row>
    <row r="873" ht="15.75" customHeight="1">
      <c r="A873" s="4"/>
      <c r="B873" s="4"/>
      <c r="C873" s="4"/>
      <c r="D873" s="4"/>
      <c r="E873" s="4"/>
      <c r="F873" s="4"/>
      <c r="G873" s="4"/>
      <c r="H873" s="4"/>
      <c r="I873" s="4"/>
    </row>
    <row r="874" ht="15.75" customHeight="1">
      <c r="A874" s="4"/>
      <c r="B874" s="4"/>
      <c r="C874" s="4"/>
      <c r="D874" s="4"/>
      <c r="E874" s="4"/>
      <c r="F874" s="4"/>
      <c r="G874" s="4"/>
      <c r="H874" s="4"/>
      <c r="I874" s="4"/>
    </row>
    <row r="875" ht="15.75" customHeight="1">
      <c r="A875" s="4"/>
      <c r="B875" s="4"/>
      <c r="C875" s="4"/>
      <c r="D875" s="4"/>
      <c r="E875" s="4"/>
      <c r="F875" s="4"/>
      <c r="G875" s="4"/>
      <c r="H875" s="4"/>
      <c r="I875" s="4"/>
    </row>
    <row r="876" ht="15.75" customHeight="1">
      <c r="A876" s="4"/>
      <c r="B876" s="4"/>
      <c r="C876" s="4"/>
      <c r="D876" s="4"/>
      <c r="E876" s="4"/>
      <c r="F876" s="4"/>
      <c r="G876" s="4"/>
      <c r="H876" s="4"/>
      <c r="I876" s="4"/>
    </row>
    <row r="877" ht="15.75" customHeight="1">
      <c r="A877" s="4"/>
      <c r="B877" s="4"/>
      <c r="C877" s="4"/>
      <c r="D877" s="4"/>
      <c r="E877" s="4"/>
      <c r="F877" s="4"/>
      <c r="G877" s="4"/>
      <c r="H877" s="4"/>
      <c r="I877" s="4"/>
    </row>
    <row r="878" ht="15.75" customHeight="1">
      <c r="A878" s="4"/>
      <c r="B878" s="4"/>
      <c r="C878" s="4"/>
      <c r="D878" s="4"/>
      <c r="E878" s="4"/>
      <c r="F878" s="4"/>
      <c r="G878" s="4"/>
      <c r="H878" s="4"/>
      <c r="I878" s="4"/>
    </row>
    <row r="879" ht="15.75" customHeight="1">
      <c r="A879" s="4"/>
      <c r="B879" s="4"/>
      <c r="C879" s="4"/>
      <c r="D879" s="4"/>
      <c r="E879" s="4"/>
      <c r="F879" s="4"/>
      <c r="G879" s="4"/>
      <c r="H879" s="4"/>
      <c r="I879" s="4"/>
    </row>
    <row r="880" ht="15.75" customHeight="1">
      <c r="A880" s="4"/>
      <c r="B880" s="4"/>
      <c r="C880" s="4"/>
      <c r="D880" s="4"/>
      <c r="E880" s="4"/>
      <c r="F880" s="4"/>
      <c r="G880" s="4"/>
      <c r="H880" s="4"/>
      <c r="I880" s="4"/>
    </row>
    <row r="881" ht="15.75" customHeight="1">
      <c r="A881" s="4"/>
      <c r="B881" s="4"/>
      <c r="C881" s="4"/>
      <c r="D881" s="4"/>
      <c r="E881" s="4"/>
      <c r="F881" s="4"/>
      <c r="G881" s="4"/>
      <c r="H881" s="4"/>
      <c r="I881" s="4"/>
    </row>
    <row r="882" ht="15.75" customHeight="1">
      <c r="A882" s="4"/>
      <c r="B882" s="4"/>
      <c r="C882" s="4"/>
      <c r="D882" s="4"/>
      <c r="E882" s="4"/>
      <c r="F882" s="4"/>
      <c r="G882" s="4"/>
      <c r="H882" s="4"/>
      <c r="I882" s="4"/>
    </row>
    <row r="883" ht="15.75" customHeight="1">
      <c r="A883" s="4"/>
      <c r="B883" s="4"/>
      <c r="C883" s="4"/>
      <c r="D883" s="4"/>
      <c r="E883" s="4"/>
      <c r="F883" s="4"/>
      <c r="G883" s="4"/>
      <c r="H883" s="4"/>
      <c r="I883" s="4"/>
    </row>
    <row r="884" ht="15.75" customHeight="1">
      <c r="A884" s="4"/>
      <c r="B884" s="4"/>
      <c r="C884" s="4"/>
      <c r="D884" s="4"/>
      <c r="E884" s="4"/>
      <c r="F884" s="4"/>
      <c r="G884" s="4"/>
      <c r="H884" s="4"/>
      <c r="I884" s="4"/>
    </row>
    <row r="885" ht="15.75" customHeight="1">
      <c r="A885" s="4"/>
      <c r="B885" s="4"/>
      <c r="C885" s="4"/>
      <c r="D885" s="4"/>
      <c r="E885" s="4"/>
      <c r="F885" s="4"/>
      <c r="G885" s="4"/>
      <c r="H885" s="4"/>
      <c r="I885" s="4"/>
    </row>
    <row r="886" ht="15.75" customHeight="1">
      <c r="A886" s="4"/>
      <c r="B886" s="4"/>
      <c r="C886" s="4"/>
      <c r="D886" s="4"/>
      <c r="E886" s="4"/>
      <c r="F886" s="4"/>
      <c r="G886" s="4"/>
      <c r="H886" s="4"/>
      <c r="I886" s="4"/>
    </row>
    <row r="887" ht="15.75" customHeight="1">
      <c r="A887" s="4"/>
      <c r="B887" s="4"/>
      <c r="C887" s="4"/>
      <c r="D887" s="4"/>
      <c r="E887" s="4"/>
      <c r="F887" s="4"/>
      <c r="G887" s="4"/>
      <c r="H887" s="4"/>
      <c r="I887" s="4"/>
    </row>
    <row r="888" ht="15.75" customHeight="1">
      <c r="A888" s="4"/>
      <c r="B888" s="4"/>
      <c r="C888" s="4"/>
      <c r="D888" s="4"/>
      <c r="E888" s="4"/>
      <c r="F888" s="4"/>
      <c r="G888" s="4"/>
      <c r="H888" s="4"/>
      <c r="I888" s="4"/>
    </row>
    <row r="889" ht="15.75" customHeight="1">
      <c r="A889" s="4"/>
      <c r="B889" s="4"/>
      <c r="C889" s="4"/>
      <c r="D889" s="4"/>
      <c r="E889" s="4"/>
      <c r="F889" s="4"/>
      <c r="G889" s="4"/>
      <c r="H889" s="4"/>
      <c r="I889" s="4"/>
    </row>
    <row r="890" ht="15.75" customHeight="1">
      <c r="A890" s="4"/>
      <c r="B890" s="4"/>
      <c r="C890" s="4"/>
      <c r="D890" s="4"/>
      <c r="E890" s="4"/>
      <c r="F890" s="4"/>
      <c r="G890" s="4"/>
      <c r="H890" s="4"/>
      <c r="I890" s="4"/>
    </row>
    <row r="891" ht="15.75" customHeight="1">
      <c r="A891" s="4"/>
      <c r="B891" s="4"/>
      <c r="C891" s="4"/>
      <c r="D891" s="4"/>
      <c r="E891" s="4"/>
      <c r="F891" s="4"/>
      <c r="G891" s="4"/>
      <c r="H891" s="4"/>
      <c r="I891" s="4"/>
    </row>
    <row r="892" ht="15.75" customHeight="1">
      <c r="A892" s="4"/>
      <c r="B892" s="4"/>
      <c r="C892" s="4"/>
      <c r="D892" s="4"/>
      <c r="E892" s="4"/>
      <c r="F892" s="4"/>
      <c r="G892" s="4"/>
      <c r="H892" s="4"/>
      <c r="I892" s="4"/>
    </row>
    <row r="893" ht="15.75" customHeight="1">
      <c r="A893" s="4"/>
      <c r="B893" s="4"/>
      <c r="C893" s="4"/>
      <c r="D893" s="4"/>
      <c r="E893" s="4"/>
      <c r="F893" s="4"/>
      <c r="G893" s="4"/>
      <c r="H893" s="4"/>
      <c r="I893" s="4"/>
    </row>
    <row r="894" ht="15.75" customHeight="1">
      <c r="A894" s="4"/>
      <c r="B894" s="4"/>
      <c r="C894" s="4"/>
      <c r="D894" s="4"/>
      <c r="E894" s="4"/>
      <c r="F894" s="4"/>
      <c r="G894" s="4"/>
      <c r="H894" s="4"/>
      <c r="I894" s="4"/>
    </row>
    <row r="895" ht="15.75" customHeight="1">
      <c r="A895" s="4"/>
      <c r="B895" s="4"/>
      <c r="C895" s="4"/>
      <c r="D895" s="4"/>
      <c r="E895" s="4"/>
      <c r="F895" s="4"/>
      <c r="G895" s="4"/>
      <c r="H895" s="4"/>
      <c r="I895" s="4"/>
    </row>
    <row r="896" ht="15.75" customHeight="1">
      <c r="A896" s="4"/>
      <c r="B896" s="4"/>
      <c r="C896" s="4"/>
      <c r="D896" s="4"/>
      <c r="E896" s="4"/>
      <c r="F896" s="4"/>
      <c r="G896" s="4"/>
      <c r="H896" s="4"/>
      <c r="I896" s="4"/>
    </row>
    <row r="897" ht="15.75" customHeight="1">
      <c r="A897" s="4"/>
      <c r="B897" s="4"/>
      <c r="C897" s="4"/>
      <c r="D897" s="4"/>
      <c r="E897" s="4"/>
      <c r="F897" s="4"/>
      <c r="G897" s="4"/>
      <c r="H897" s="4"/>
      <c r="I897" s="4"/>
    </row>
    <row r="898" ht="15.75" customHeight="1">
      <c r="A898" s="4"/>
      <c r="B898" s="4"/>
      <c r="C898" s="4"/>
      <c r="D898" s="4"/>
      <c r="E898" s="4"/>
      <c r="F898" s="4"/>
      <c r="G898" s="4"/>
      <c r="H898" s="4"/>
      <c r="I898" s="4"/>
    </row>
    <row r="899" ht="15.75" customHeight="1">
      <c r="A899" s="4"/>
      <c r="B899" s="4"/>
      <c r="C899" s="4"/>
      <c r="D899" s="4"/>
      <c r="E899" s="4"/>
      <c r="F899" s="4"/>
      <c r="G899" s="4"/>
      <c r="H899" s="4"/>
      <c r="I899" s="4"/>
    </row>
    <row r="900" ht="15.75" customHeight="1">
      <c r="A900" s="4"/>
      <c r="B900" s="4"/>
      <c r="C900" s="4"/>
      <c r="D900" s="4"/>
      <c r="E900" s="4"/>
      <c r="F900" s="4"/>
      <c r="G900" s="4"/>
      <c r="H900" s="4"/>
      <c r="I900" s="4"/>
    </row>
    <row r="901" ht="15.75" customHeight="1">
      <c r="A901" s="4"/>
      <c r="B901" s="4"/>
      <c r="C901" s="4"/>
      <c r="D901" s="4"/>
      <c r="E901" s="4"/>
      <c r="F901" s="4"/>
      <c r="G901" s="4"/>
      <c r="H901" s="4"/>
      <c r="I901" s="4"/>
    </row>
    <row r="902" ht="15.75" customHeight="1">
      <c r="A902" s="4"/>
      <c r="B902" s="4"/>
      <c r="C902" s="4"/>
      <c r="D902" s="4"/>
      <c r="E902" s="4"/>
      <c r="F902" s="4"/>
      <c r="G902" s="4"/>
      <c r="H902" s="4"/>
      <c r="I902" s="4"/>
    </row>
    <row r="903" ht="15.75" customHeight="1">
      <c r="A903" s="4"/>
      <c r="B903" s="4"/>
      <c r="C903" s="4"/>
      <c r="D903" s="4"/>
      <c r="E903" s="4"/>
      <c r="F903" s="4"/>
      <c r="G903" s="4"/>
      <c r="H903" s="4"/>
      <c r="I903" s="4"/>
    </row>
    <row r="904" ht="15.75" customHeight="1">
      <c r="A904" s="4"/>
      <c r="B904" s="4"/>
      <c r="C904" s="4"/>
      <c r="D904" s="4"/>
      <c r="E904" s="4"/>
      <c r="F904" s="4"/>
      <c r="G904" s="4"/>
      <c r="H904" s="4"/>
      <c r="I904" s="4"/>
    </row>
    <row r="905" ht="15.75" customHeight="1">
      <c r="A905" s="4"/>
      <c r="B905" s="4"/>
      <c r="C905" s="4"/>
      <c r="D905" s="4"/>
      <c r="E905" s="4"/>
      <c r="F905" s="4"/>
      <c r="G905" s="4"/>
      <c r="H905" s="4"/>
      <c r="I905" s="4"/>
    </row>
    <row r="906" ht="15.75" customHeight="1">
      <c r="A906" s="4"/>
      <c r="B906" s="4"/>
      <c r="C906" s="4"/>
      <c r="D906" s="4"/>
      <c r="E906" s="4"/>
      <c r="F906" s="4"/>
      <c r="G906" s="4"/>
      <c r="H906" s="4"/>
      <c r="I906" s="4"/>
    </row>
    <row r="907" ht="15.75" customHeight="1">
      <c r="A907" s="4"/>
      <c r="B907" s="4"/>
      <c r="C907" s="4"/>
      <c r="D907" s="4"/>
      <c r="E907" s="4"/>
      <c r="F907" s="4"/>
      <c r="G907" s="4"/>
      <c r="H907" s="4"/>
      <c r="I907" s="4"/>
    </row>
    <row r="908" ht="15.75" customHeight="1">
      <c r="A908" s="4"/>
      <c r="B908" s="4"/>
      <c r="C908" s="4"/>
      <c r="D908" s="4"/>
      <c r="E908" s="4"/>
      <c r="F908" s="4"/>
      <c r="G908" s="4"/>
      <c r="H908" s="4"/>
      <c r="I908" s="4"/>
    </row>
    <row r="909" ht="15.75" customHeight="1">
      <c r="A909" s="4"/>
      <c r="B909" s="4"/>
      <c r="C909" s="4"/>
      <c r="D909" s="4"/>
      <c r="E909" s="4"/>
      <c r="F909" s="4"/>
      <c r="G909" s="4"/>
      <c r="H909" s="4"/>
      <c r="I909" s="4"/>
    </row>
    <row r="910" ht="15.75" customHeight="1">
      <c r="A910" s="4"/>
      <c r="B910" s="4"/>
      <c r="C910" s="4"/>
      <c r="D910" s="4"/>
      <c r="E910" s="4"/>
      <c r="F910" s="4"/>
      <c r="G910" s="4"/>
      <c r="H910" s="4"/>
      <c r="I910" s="4"/>
    </row>
    <row r="911" ht="15.75" customHeight="1">
      <c r="A911" s="4"/>
      <c r="B911" s="4"/>
      <c r="C911" s="4"/>
      <c r="D911" s="4"/>
      <c r="E911" s="4"/>
      <c r="F911" s="4"/>
      <c r="G911" s="4"/>
      <c r="H911" s="4"/>
      <c r="I911" s="4"/>
    </row>
    <row r="912" ht="15.75" customHeight="1">
      <c r="A912" s="4"/>
      <c r="B912" s="4"/>
      <c r="C912" s="4"/>
      <c r="D912" s="4"/>
      <c r="E912" s="4"/>
      <c r="F912" s="4"/>
      <c r="G912" s="4"/>
      <c r="H912" s="4"/>
      <c r="I912" s="4"/>
    </row>
    <row r="913" ht="15.75" customHeight="1">
      <c r="A913" s="4"/>
      <c r="B913" s="4"/>
      <c r="C913" s="4"/>
      <c r="D913" s="4"/>
      <c r="E913" s="4"/>
      <c r="F913" s="4"/>
      <c r="G913" s="4"/>
      <c r="H913" s="4"/>
      <c r="I913" s="4"/>
    </row>
    <row r="914" ht="15.75" customHeight="1">
      <c r="A914" s="4"/>
      <c r="B914" s="4"/>
      <c r="C914" s="4"/>
      <c r="D914" s="4"/>
      <c r="E914" s="4"/>
      <c r="F914" s="4"/>
      <c r="G914" s="4"/>
      <c r="H914" s="4"/>
      <c r="I914" s="4"/>
    </row>
    <row r="915" ht="15.75" customHeight="1">
      <c r="A915" s="4"/>
      <c r="B915" s="4"/>
      <c r="C915" s="4"/>
      <c r="D915" s="4"/>
      <c r="E915" s="4"/>
      <c r="F915" s="4"/>
      <c r="G915" s="4"/>
      <c r="H915" s="4"/>
      <c r="I915" s="4"/>
    </row>
    <row r="916" ht="15.75" customHeight="1">
      <c r="A916" s="4"/>
      <c r="B916" s="4"/>
      <c r="C916" s="4"/>
      <c r="D916" s="4"/>
      <c r="E916" s="4"/>
      <c r="F916" s="4"/>
      <c r="G916" s="4"/>
      <c r="H916" s="4"/>
      <c r="I916" s="4"/>
    </row>
    <row r="917" ht="15.75" customHeight="1">
      <c r="A917" s="4"/>
      <c r="B917" s="4"/>
      <c r="C917" s="4"/>
      <c r="D917" s="4"/>
      <c r="E917" s="4"/>
      <c r="F917" s="4"/>
      <c r="G917" s="4"/>
      <c r="H917" s="4"/>
      <c r="I917" s="4"/>
    </row>
    <row r="918" ht="15.75" customHeight="1">
      <c r="A918" s="4"/>
      <c r="B918" s="4"/>
      <c r="C918" s="4"/>
      <c r="D918" s="4"/>
      <c r="E918" s="4"/>
      <c r="F918" s="4"/>
      <c r="G918" s="4"/>
      <c r="H918" s="4"/>
      <c r="I918" s="4"/>
    </row>
    <row r="919" ht="15.75" customHeight="1">
      <c r="A919" s="4"/>
      <c r="B919" s="4"/>
      <c r="C919" s="4"/>
      <c r="D919" s="4"/>
      <c r="E919" s="4"/>
      <c r="F919" s="4"/>
      <c r="G919" s="4"/>
      <c r="H919" s="4"/>
      <c r="I919" s="4"/>
    </row>
    <row r="920" ht="15.75" customHeight="1">
      <c r="A920" s="4"/>
      <c r="B920" s="4"/>
      <c r="C920" s="4"/>
      <c r="D920" s="4"/>
      <c r="E920" s="4"/>
      <c r="F920" s="4"/>
      <c r="G920" s="4"/>
      <c r="H920" s="4"/>
      <c r="I920" s="4"/>
    </row>
    <row r="921" ht="15.75" customHeight="1">
      <c r="A921" s="4"/>
      <c r="B921" s="4"/>
      <c r="C921" s="4"/>
      <c r="D921" s="4"/>
      <c r="E921" s="4"/>
      <c r="F921" s="4"/>
      <c r="G921" s="4"/>
      <c r="H921" s="4"/>
      <c r="I921" s="4"/>
    </row>
    <row r="922" ht="15.75" customHeight="1">
      <c r="A922" s="4"/>
      <c r="B922" s="4"/>
      <c r="C922" s="4"/>
      <c r="D922" s="4"/>
      <c r="E922" s="4"/>
      <c r="F922" s="4"/>
      <c r="G922" s="4"/>
      <c r="H922" s="4"/>
      <c r="I922" s="4"/>
    </row>
    <row r="923" ht="15.75" customHeight="1">
      <c r="A923" s="4"/>
      <c r="B923" s="4"/>
      <c r="C923" s="4"/>
      <c r="D923" s="4"/>
      <c r="E923" s="4"/>
      <c r="F923" s="4"/>
      <c r="G923" s="4"/>
      <c r="H923" s="4"/>
      <c r="I923" s="4"/>
    </row>
    <row r="924" ht="15.75" customHeight="1">
      <c r="A924" s="4"/>
      <c r="B924" s="4"/>
      <c r="C924" s="4"/>
      <c r="D924" s="4"/>
      <c r="E924" s="4"/>
      <c r="F924" s="4"/>
      <c r="G924" s="4"/>
      <c r="H924" s="4"/>
      <c r="I924" s="4"/>
    </row>
    <row r="925" ht="15.75" customHeight="1">
      <c r="A925" s="4"/>
      <c r="B925" s="4"/>
      <c r="C925" s="4"/>
      <c r="D925" s="4"/>
      <c r="E925" s="4"/>
      <c r="F925" s="4"/>
      <c r="G925" s="4"/>
      <c r="H925" s="4"/>
      <c r="I925" s="4"/>
    </row>
    <row r="926" ht="15.75" customHeight="1">
      <c r="A926" s="4"/>
      <c r="B926" s="4"/>
      <c r="C926" s="4"/>
      <c r="D926" s="4"/>
      <c r="E926" s="4"/>
      <c r="F926" s="4"/>
      <c r="G926" s="4"/>
      <c r="H926" s="4"/>
      <c r="I926" s="4"/>
    </row>
    <row r="927" ht="15.75" customHeight="1">
      <c r="A927" s="4"/>
      <c r="B927" s="4"/>
      <c r="C927" s="4"/>
      <c r="D927" s="4"/>
      <c r="E927" s="4"/>
      <c r="F927" s="4"/>
      <c r="G927" s="4"/>
      <c r="H927" s="4"/>
      <c r="I927" s="4"/>
    </row>
    <row r="928" ht="15.75" customHeight="1">
      <c r="A928" s="4"/>
      <c r="B928" s="4"/>
      <c r="C928" s="4"/>
      <c r="D928" s="4"/>
      <c r="E928" s="4"/>
      <c r="F928" s="4"/>
      <c r="G928" s="4"/>
      <c r="H928" s="4"/>
      <c r="I928" s="4"/>
    </row>
    <row r="929" ht="15.75" customHeight="1">
      <c r="A929" s="4"/>
      <c r="B929" s="4"/>
      <c r="C929" s="4"/>
      <c r="D929" s="4"/>
      <c r="E929" s="4"/>
      <c r="F929" s="4"/>
      <c r="G929" s="4"/>
      <c r="H929" s="4"/>
      <c r="I929" s="4"/>
    </row>
    <row r="930" ht="15.75" customHeight="1">
      <c r="A930" s="4"/>
      <c r="B930" s="4"/>
      <c r="C930" s="4"/>
      <c r="D930" s="4"/>
      <c r="E930" s="4"/>
      <c r="F930" s="4"/>
      <c r="G930" s="4"/>
      <c r="H930" s="4"/>
      <c r="I930" s="4"/>
    </row>
    <row r="931" ht="15.75" customHeight="1">
      <c r="A931" s="4"/>
      <c r="B931" s="4"/>
      <c r="C931" s="4"/>
      <c r="D931" s="4"/>
      <c r="E931" s="4"/>
      <c r="F931" s="4"/>
      <c r="G931" s="4"/>
      <c r="H931" s="4"/>
      <c r="I931" s="4"/>
    </row>
    <row r="932" ht="15.75" customHeight="1">
      <c r="A932" s="4"/>
      <c r="B932" s="4"/>
      <c r="C932" s="4"/>
      <c r="D932" s="4"/>
      <c r="E932" s="4"/>
      <c r="F932" s="4"/>
      <c r="G932" s="4"/>
      <c r="H932" s="4"/>
      <c r="I932" s="4"/>
    </row>
    <row r="933" ht="15.75" customHeight="1">
      <c r="A933" s="4"/>
      <c r="B933" s="4"/>
      <c r="C933" s="4"/>
      <c r="D933" s="4"/>
      <c r="E933" s="4"/>
      <c r="F933" s="4"/>
      <c r="G933" s="4"/>
      <c r="H933" s="4"/>
      <c r="I933" s="4"/>
    </row>
    <row r="934" ht="15.75" customHeight="1">
      <c r="A934" s="4"/>
      <c r="B934" s="4"/>
      <c r="C934" s="4"/>
      <c r="D934" s="4"/>
      <c r="E934" s="4"/>
      <c r="F934" s="4"/>
      <c r="G934" s="4"/>
      <c r="H934" s="4"/>
      <c r="I934" s="4"/>
    </row>
    <row r="935" ht="15.75" customHeight="1">
      <c r="A935" s="4"/>
      <c r="B935" s="4"/>
      <c r="C935" s="4"/>
      <c r="D935" s="4"/>
      <c r="E935" s="4"/>
      <c r="F935" s="4"/>
      <c r="G935" s="4"/>
      <c r="H935" s="4"/>
      <c r="I935" s="4"/>
    </row>
    <row r="936" ht="15.75" customHeight="1">
      <c r="A936" s="4"/>
      <c r="B936" s="4"/>
      <c r="C936" s="4"/>
      <c r="D936" s="4"/>
      <c r="E936" s="4"/>
      <c r="F936" s="4"/>
      <c r="G936" s="4"/>
      <c r="H936" s="4"/>
      <c r="I936" s="4"/>
    </row>
    <row r="937" ht="15.75" customHeight="1">
      <c r="A937" s="4"/>
      <c r="B937" s="4"/>
      <c r="C937" s="4"/>
      <c r="D937" s="4"/>
      <c r="E937" s="4"/>
      <c r="F937" s="4"/>
      <c r="G937" s="4"/>
      <c r="H937" s="4"/>
      <c r="I937" s="4"/>
    </row>
    <row r="938" ht="15.75" customHeight="1">
      <c r="A938" s="4"/>
      <c r="B938" s="4"/>
      <c r="C938" s="4"/>
      <c r="D938" s="4"/>
      <c r="E938" s="4"/>
      <c r="F938" s="4"/>
      <c r="G938" s="4"/>
      <c r="H938" s="4"/>
      <c r="I938" s="4"/>
    </row>
    <row r="939" ht="15.75" customHeight="1">
      <c r="A939" s="4"/>
      <c r="B939" s="4"/>
      <c r="C939" s="4"/>
      <c r="D939" s="4"/>
      <c r="E939" s="4"/>
      <c r="F939" s="4"/>
      <c r="G939" s="4"/>
      <c r="H939" s="4"/>
      <c r="I939" s="4"/>
    </row>
    <row r="940" ht="15.75" customHeight="1">
      <c r="A940" s="4"/>
      <c r="B940" s="4"/>
      <c r="C940" s="4"/>
      <c r="D940" s="4"/>
      <c r="E940" s="4"/>
      <c r="F940" s="4"/>
      <c r="G940" s="4"/>
      <c r="H940" s="4"/>
      <c r="I940" s="4"/>
    </row>
    <row r="941" ht="15.75" customHeight="1">
      <c r="A941" s="4"/>
      <c r="B941" s="4"/>
      <c r="C941" s="4"/>
      <c r="D941" s="4"/>
      <c r="E941" s="4"/>
      <c r="F941" s="4"/>
      <c r="G941" s="4"/>
      <c r="H941" s="4"/>
      <c r="I941" s="4"/>
    </row>
    <row r="942" ht="15.75" customHeight="1">
      <c r="A942" s="4"/>
      <c r="B942" s="4"/>
      <c r="C942" s="4"/>
      <c r="D942" s="4"/>
      <c r="E942" s="4"/>
      <c r="F942" s="4"/>
      <c r="G942" s="4"/>
      <c r="H942" s="4"/>
      <c r="I942" s="4"/>
    </row>
    <row r="943" ht="15.75" customHeight="1">
      <c r="A943" s="4"/>
      <c r="B943" s="4"/>
      <c r="C943" s="4"/>
      <c r="D943" s="4"/>
      <c r="E943" s="4"/>
      <c r="F943" s="4"/>
      <c r="G943" s="4"/>
      <c r="H943" s="4"/>
      <c r="I943" s="4"/>
    </row>
    <row r="944" ht="15.75" customHeight="1">
      <c r="A944" s="4"/>
      <c r="B944" s="4"/>
      <c r="C944" s="4"/>
      <c r="D944" s="4"/>
      <c r="E944" s="4"/>
      <c r="F944" s="4"/>
      <c r="G944" s="4"/>
      <c r="H944" s="4"/>
      <c r="I944" s="4"/>
    </row>
    <row r="945" ht="15.75" customHeight="1">
      <c r="A945" s="4"/>
      <c r="B945" s="4"/>
      <c r="C945" s="4"/>
      <c r="D945" s="4"/>
      <c r="E945" s="4"/>
      <c r="F945" s="4"/>
      <c r="G945" s="4"/>
      <c r="H945" s="4"/>
      <c r="I945" s="4"/>
    </row>
    <row r="946" ht="15.75" customHeight="1">
      <c r="A946" s="4"/>
      <c r="B946" s="4"/>
      <c r="C946" s="4"/>
      <c r="D946" s="4"/>
      <c r="E946" s="4"/>
      <c r="F946" s="4"/>
      <c r="G946" s="4"/>
      <c r="H946" s="4"/>
      <c r="I946" s="4"/>
    </row>
    <row r="947" ht="15.75" customHeight="1">
      <c r="A947" s="4"/>
      <c r="B947" s="4"/>
      <c r="C947" s="4"/>
      <c r="D947" s="4"/>
      <c r="E947" s="4"/>
      <c r="F947" s="4"/>
      <c r="G947" s="4"/>
      <c r="H947" s="4"/>
      <c r="I947" s="4"/>
    </row>
    <row r="948" ht="15.75" customHeight="1">
      <c r="A948" s="4"/>
      <c r="B948" s="4"/>
      <c r="C948" s="4"/>
      <c r="D948" s="4"/>
      <c r="E948" s="4"/>
      <c r="F948" s="4"/>
      <c r="G948" s="4"/>
      <c r="H948" s="4"/>
      <c r="I948" s="4"/>
    </row>
    <row r="949" ht="15.75" customHeight="1">
      <c r="A949" s="4"/>
      <c r="B949" s="4"/>
      <c r="C949" s="4"/>
      <c r="D949" s="4"/>
      <c r="E949" s="4"/>
      <c r="F949" s="4"/>
      <c r="G949" s="4"/>
      <c r="H949" s="4"/>
      <c r="I949" s="4"/>
    </row>
    <row r="950" ht="15.75" customHeight="1">
      <c r="A950" s="4"/>
      <c r="B950" s="4"/>
      <c r="C950" s="4"/>
      <c r="D950" s="4"/>
      <c r="E950" s="4"/>
      <c r="F950" s="4"/>
      <c r="G950" s="4"/>
      <c r="H950" s="4"/>
      <c r="I950" s="4"/>
    </row>
    <row r="951" ht="15.75" customHeight="1">
      <c r="A951" s="4"/>
      <c r="B951" s="4"/>
      <c r="C951" s="4"/>
      <c r="D951" s="4"/>
      <c r="E951" s="4"/>
      <c r="F951" s="4"/>
      <c r="G951" s="4"/>
      <c r="H951" s="4"/>
      <c r="I951" s="4"/>
    </row>
    <row r="952" ht="15.75" customHeight="1">
      <c r="A952" s="4"/>
      <c r="B952" s="4"/>
      <c r="C952" s="4"/>
      <c r="D952" s="4"/>
      <c r="E952" s="4"/>
      <c r="F952" s="4"/>
      <c r="G952" s="4"/>
      <c r="H952" s="4"/>
      <c r="I952" s="4"/>
    </row>
    <row r="953" ht="15.75" customHeight="1">
      <c r="A953" s="4"/>
      <c r="B953" s="4"/>
      <c r="C953" s="4"/>
      <c r="D953" s="4"/>
      <c r="E953" s="4"/>
      <c r="F953" s="4"/>
      <c r="G953" s="4"/>
      <c r="H953" s="4"/>
      <c r="I953" s="4"/>
    </row>
    <row r="954" ht="15.75" customHeight="1">
      <c r="A954" s="4"/>
      <c r="B954" s="4"/>
      <c r="C954" s="4"/>
      <c r="D954" s="4"/>
      <c r="E954" s="4"/>
      <c r="F954" s="4"/>
      <c r="G954" s="4"/>
      <c r="H954" s="4"/>
      <c r="I954" s="4"/>
    </row>
    <row r="955" ht="15.75" customHeight="1">
      <c r="A955" s="4"/>
      <c r="B955" s="4"/>
      <c r="C955" s="4"/>
      <c r="D955" s="4"/>
      <c r="E955" s="4"/>
      <c r="F955" s="4"/>
      <c r="G955" s="4"/>
      <c r="H955" s="4"/>
      <c r="I955" s="4"/>
    </row>
    <row r="956" ht="15.75" customHeight="1">
      <c r="A956" s="4"/>
      <c r="B956" s="4"/>
      <c r="C956" s="4"/>
      <c r="D956" s="4"/>
      <c r="E956" s="4"/>
      <c r="F956" s="4"/>
      <c r="G956" s="4"/>
      <c r="H956" s="4"/>
      <c r="I956" s="4"/>
    </row>
    <row r="957" ht="15.75" customHeight="1">
      <c r="A957" s="4"/>
      <c r="B957" s="4"/>
      <c r="C957" s="4"/>
      <c r="D957" s="4"/>
      <c r="E957" s="4"/>
      <c r="F957" s="4"/>
      <c r="G957" s="4"/>
      <c r="H957" s="4"/>
      <c r="I957" s="4"/>
    </row>
    <row r="958" ht="15.75" customHeight="1">
      <c r="A958" s="4"/>
      <c r="B958" s="4"/>
      <c r="C958" s="4"/>
      <c r="D958" s="4"/>
      <c r="E958" s="4"/>
      <c r="F958" s="4"/>
      <c r="G958" s="4"/>
      <c r="H958" s="4"/>
      <c r="I958" s="4"/>
    </row>
    <row r="959" ht="15.75" customHeight="1">
      <c r="A959" s="4"/>
      <c r="B959" s="4"/>
      <c r="C959" s="4"/>
      <c r="D959" s="4"/>
      <c r="E959" s="4"/>
      <c r="F959" s="4"/>
      <c r="G959" s="4"/>
      <c r="H959" s="4"/>
      <c r="I959" s="4"/>
    </row>
    <row r="960" ht="15.75" customHeight="1">
      <c r="A960" s="4"/>
      <c r="B960" s="4"/>
      <c r="C960" s="4"/>
      <c r="D960" s="4"/>
      <c r="E960" s="4"/>
      <c r="F960" s="4"/>
      <c r="G960" s="4"/>
      <c r="H960" s="4"/>
      <c r="I960" s="4"/>
    </row>
    <row r="961" ht="15.75" customHeight="1">
      <c r="A961" s="4"/>
      <c r="B961" s="4"/>
      <c r="C961" s="4"/>
      <c r="D961" s="4"/>
      <c r="E961" s="4"/>
      <c r="F961" s="4"/>
      <c r="G961" s="4"/>
      <c r="H961" s="4"/>
      <c r="I961" s="4"/>
    </row>
    <row r="962" ht="15.75" customHeight="1">
      <c r="A962" s="4"/>
      <c r="B962" s="4"/>
      <c r="C962" s="4"/>
      <c r="D962" s="4"/>
      <c r="E962" s="4"/>
      <c r="F962" s="4"/>
      <c r="G962" s="4"/>
      <c r="H962" s="4"/>
      <c r="I962" s="4"/>
    </row>
    <row r="963" ht="15.75" customHeight="1">
      <c r="A963" s="4"/>
      <c r="B963" s="4"/>
      <c r="C963" s="4"/>
      <c r="D963" s="4"/>
      <c r="E963" s="4"/>
      <c r="F963" s="4"/>
      <c r="G963" s="4"/>
      <c r="H963" s="4"/>
      <c r="I963" s="4"/>
    </row>
    <row r="964" ht="15.75" customHeight="1">
      <c r="A964" s="4"/>
      <c r="B964" s="4"/>
      <c r="C964" s="4"/>
      <c r="D964" s="4"/>
      <c r="E964" s="4"/>
      <c r="F964" s="4"/>
      <c r="G964" s="4"/>
      <c r="H964" s="4"/>
      <c r="I964" s="4"/>
    </row>
    <row r="965" ht="15.75" customHeight="1">
      <c r="A965" s="4"/>
      <c r="B965" s="4"/>
      <c r="C965" s="4"/>
      <c r="D965" s="4"/>
      <c r="E965" s="4"/>
      <c r="F965" s="4"/>
      <c r="G965" s="4"/>
      <c r="H965" s="4"/>
      <c r="I965" s="4"/>
    </row>
    <row r="966" ht="15.75" customHeight="1">
      <c r="A966" s="4"/>
      <c r="B966" s="4"/>
      <c r="C966" s="4"/>
      <c r="D966" s="4"/>
      <c r="E966" s="4"/>
      <c r="F966" s="4"/>
      <c r="G966" s="4"/>
      <c r="H966" s="4"/>
      <c r="I966" s="4"/>
    </row>
    <row r="967" ht="15.75" customHeight="1">
      <c r="A967" s="4"/>
      <c r="B967" s="4"/>
      <c r="C967" s="4"/>
      <c r="D967" s="4"/>
      <c r="E967" s="4"/>
      <c r="F967" s="4"/>
      <c r="G967" s="4"/>
      <c r="H967" s="4"/>
      <c r="I967" s="4"/>
    </row>
    <row r="968" ht="15.75" customHeight="1">
      <c r="A968" s="4"/>
      <c r="B968" s="4"/>
      <c r="C968" s="4"/>
      <c r="D968" s="4"/>
      <c r="E968" s="4"/>
      <c r="F968" s="4"/>
      <c r="G968" s="4"/>
      <c r="H968" s="4"/>
      <c r="I968" s="4"/>
    </row>
    <row r="969" ht="15.75" customHeight="1">
      <c r="A969" s="4"/>
      <c r="B969" s="4"/>
      <c r="C969" s="4"/>
      <c r="D969" s="4"/>
      <c r="E969" s="4"/>
      <c r="F969" s="4"/>
      <c r="G969" s="4"/>
      <c r="H969" s="4"/>
      <c r="I969" s="4"/>
    </row>
    <row r="970" ht="15.75" customHeight="1">
      <c r="A970" s="4"/>
      <c r="B970" s="4"/>
      <c r="C970" s="4"/>
      <c r="D970" s="4"/>
      <c r="E970" s="4"/>
      <c r="F970" s="4"/>
      <c r="G970" s="4"/>
      <c r="H970" s="4"/>
      <c r="I970" s="4"/>
    </row>
    <row r="971" ht="15.75" customHeight="1">
      <c r="A971" s="4"/>
      <c r="B971" s="4"/>
      <c r="C971" s="4"/>
      <c r="D971" s="4"/>
      <c r="E971" s="4"/>
      <c r="F971" s="4"/>
      <c r="G971" s="4"/>
      <c r="H971" s="4"/>
      <c r="I971" s="4"/>
    </row>
    <row r="972" ht="15.75" customHeight="1">
      <c r="A972" s="4"/>
      <c r="B972" s="4"/>
      <c r="C972" s="4"/>
      <c r="D972" s="4"/>
      <c r="E972" s="4"/>
      <c r="F972" s="4"/>
      <c r="G972" s="4"/>
      <c r="H972" s="4"/>
      <c r="I972" s="4"/>
    </row>
    <row r="973" ht="15.75" customHeight="1">
      <c r="A973" s="4"/>
      <c r="B973" s="4"/>
      <c r="C973" s="4"/>
      <c r="D973" s="4"/>
      <c r="E973" s="4"/>
      <c r="F973" s="4"/>
      <c r="G973" s="4"/>
      <c r="H973" s="4"/>
      <c r="I973" s="4"/>
    </row>
    <row r="974" ht="15.75" customHeight="1">
      <c r="A974" s="4"/>
      <c r="B974" s="4"/>
      <c r="C974" s="4"/>
      <c r="D974" s="4"/>
      <c r="E974" s="4"/>
      <c r="F974" s="4"/>
      <c r="G974" s="4"/>
      <c r="H974" s="4"/>
      <c r="I974" s="4"/>
    </row>
    <row r="975" ht="15.75" customHeight="1">
      <c r="A975" s="4"/>
      <c r="B975" s="4"/>
      <c r="C975" s="4"/>
      <c r="D975" s="4"/>
      <c r="E975" s="4"/>
      <c r="F975" s="4"/>
      <c r="G975" s="4"/>
      <c r="H975" s="4"/>
      <c r="I975" s="4"/>
    </row>
    <row r="976" ht="15.75" customHeight="1">
      <c r="A976" s="4"/>
      <c r="B976" s="4"/>
      <c r="C976" s="4"/>
      <c r="D976" s="4"/>
      <c r="E976" s="4"/>
      <c r="F976" s="4"/>
      <c r="G976" s="4"/>
      <c r="H976" s="4"/>
      <c r="I976" s="4"/>
    </row>
    <row r="977" ht="15.75" customHeight="1">
      <c r="A977" s="4"/>
      <c r="B977" s="4"/>
      <c r="C977" s="4"/>
      <c r="D977" s="4"/>
      <c r="E977" s="4"/>
      <c r="F977" s="4"/>
      <c r="G977" s="4"/>
      <c r="H977" s="4"/>
      <c r="I977" s="4"/>
    </row>
    <row r="978" ht="15.75" customHeight="1">
      <c r="A978" s="4"/>
      <c r="B978" s="4"/>
      <c r="C978" s="4"/>
      <c r="D978" s="4"/>
      <c r="E978" s="4"/>
      <c r="F978" s="4"/>
      <c r="G978" s="4"/>
      <c r="H978" s="4"/>
      <c r="I978" s="4"/>
    </row>
    <row r="979" ht="15.75" customHeight="1">
      <c r="A979" s="4"/>
      <c r="B979" s="4"/>
      <c r="C979" s="4"/>
      <c r="D979" s="4"/>
      <c r="E979" s="4"/>
      <c r="F979" s="4"/>
      <c r="G979" s="4"/>
      <c r="H979" s="4"/>
      <c r="I979" s="4"/>
    </row>
    <row r="980" ht="15.75" customHeight="1">
      <c r="A980" s="4"/>
      <c r="B980" s="4"/>
      <c r="C980" s="4"/>
      <c r="D980" s="4"/>
      <c r="E980" s="4"/>
      <c r="F980" s="4"/>
      <c r="G980" s="4"/>
      <c r="H980" s="4"/>
      <c r="I980" s="4"/>
    </row>
    <row r="981" ht="15.75" customHeight="1">
      <c r="A981" s="4"/>
      <c r="B981" s="4"/>
      <c r="C981" s="4"/>
      <c r="D981" s="4"/>
      <c r="E981" s="4"/>
      <c r="F981" s="4"/>
      <c r="G981" s="4"/>
      <c r="H981" s="4"/>
      <c r="I981" s="4"/>
    </row>
    <row r="982" ht="15.75" customHeight="1">
      <c r="A982" s="4"/>
      <c r="B982" s="4"/>
      <c r="C982" s="4"/>
      <c r="D982" s="4"/>
      <c r="E982" s="4"/>
      <c r="F982" s="4"/>
      <c r="G982" s="4"/>
      <c r="H982" s="4"/>
      <c r="I982" s="4"/>
    </row>
    <row r="983" ht="15.75" customHeight="1">
      <c r="A983" s="4"/>
      <c r="B983" s="4"/>
      <c r="C983" s="4"/>
      <c r="D983" s="4"/>
      <c r="E983" s="4"/>
      <c r="F983" s="4"/>
      <c r="G983" s="4"/>
      <c r="H983" s="4"/>
      <c r="I983" s="4"/>
    </row>
    <row r="984" ht="15.75" customHeight="1">
      <c r="A984" s="4"/>
      <c r="B984" s="4"/>
      <c r="C984" s="4"/>
      <c r="D984" s="4"/>
      <c r="E984" s="4"/>
      <c r="F984" s="4"/>
      <c r="G984" s="4"/>
      <c r="H984" s="4"/>
      <c r="I984" s="4"/>
    </row>
    <row r="985" ht="15.75" customHeight="1">
      <c r="A985" s="4"/>
      <c r="B985" s="4"/>
      <c r="C985" s="4"/>
      <c r="D985" s="4"/>
      <c r="E985" s="4"/>
      <c r="F985" s="4"/>
      <c r="G985" s="4"/>
      <c r="H985" s="4"/>
      <c r="I985" s="4"/>
    </row>
    <row r="986" ht="15.75" customHeight="1">
      <c r="A986" s="4"/>
      <c r="B986" s="4"/>
      <c r="C986" s="4"/>
      <c r="D986" s="4"/>
      <c r="E986" s="4"/>
      <c r="F986" s="4"/>
      <c r="G986" s="4"/>
      <c r="H986" s="4"/>
      <c r="I986" s="4"/>
    </row>
    <row r="987" ht="15.75" customHeight="1">
      <c r="A987" s="4"/>
      <c r="B987" s="4"/>
      <c r="C987" s="4"/>
      <c r="D987" s="4"/>
      <c r="E987" s="4"/>
      <c r="F987" s="4"/>
      <c r="G987" s="4"/>
      <c r="H987" s="4"/>
      <c r="I987" s="4"/>
    </row>
    <row r="988" ht="15.75" customHeight="1">
      <c r="A988" s="4"/>
      <c r="B988" s="4"/>
      <c r="C988" s="4"/>
      <c r="D988" s="4"/>
      <c r="E988" s="4"/>
      <c r="F988" s="4"/>
      <c r="G988" s="4"/>
      <c r="H988" s="4"/>
      <c r="I988" s="4"/>
    </row>
    <row r="989" ht="15.75" customHeight="1">
      <c r="A989" s="4"/>
      <c r="B989" s="4"/>
      <c r="C989" s="4"/>
      <c r="D989" s="4"/>
      <c r="E989" s="4"/>
      <c r="F989" s="4"/>
      <c r="G989" s="4"/>
      <c r="H989" s="4"/>
      <c r="I989" s="4"/>
    </row>
    <row r="990" ht="15.75" customHeight="1">
      <c r="A990" s="4"/>
      <c r="B990" s="4"/>
      <c r="C990" s="4"/>
      <c r="D990" s="4"/>
      <c r="E990" s="4"/>
      <c r="F990" s="4"/>
      <c r="G990" s="4"/>
      <c r="H990" s="4"/>
      <c r="I990" s="4"/>
    </row>
    <row r="991" ht="15.75" customHeight="1">
      <c r="A991" s="4"/>
      <c r="B991" s="4"/>
      <c r="C991" s="4"/>
      <c r="D991" s="4"/>
      <c r="E991" s="4"/>
      <c r="F991" s="4"/>
      <c r="G991" s="4"/>
      <c r="H991" s="4"/>
      <c r="I991" s="4"/>
    </row>
    <row r="992" ht="15.75" customHeight="1">
      <c r="A992" s="4"/>
      <c r="B992" s="4"/>
      <c r="C992" s="4"/>
      <c r="D992" s="4"/>
      <c r="E992" s="4"/>
      <c r="F992" s="4"/>
      <c r="G992" s="4"/>
      <c r="H992" s="4"/>
      <c r="I992" s="4"/>
    </row>
    <row r="993" ht="15.75" customHeight="1">
      <c r="A993" s="4"/>
      <c r="B993" s="4"/>
      <c r="C993" s="4"/>
      <c r="D993" s="4"/>
      <c r="E993" s="4"/>
      <c r="F993" s="4"/>
      <c r="G993" s="4"/>
      <c r="H993" s="4"/>
      <c r="I993" s="4"/>
    </row>
    <row r="994" ht="15.75" customHeight="1">
      <c r="A994" s="4"/>
      <c r="B994" s="4"/>
      <c r="C994" s="4"/>
      <c r="D994" s="4"/>
      <c r="E994" s="4"/>
      <c r="F994" s="4"/>
      <c r="G994" s="4"/>
      <c r="H994" s="4"/>
      <c r="I994" s="4"/>
    </row>
    <row r="995" ht="15.75" customHeight="1">
      <c r="A995" s="4"/>
      <c r="B995" s="4"/>
      <c r="C995" s="4"/>
      <c r="D995" s="4"/>
      <c r="E995" s="4"/>
      <c r="F995" s="4"/>
      <c r="G995" s="4"/>
      <c r="H995" s="4"/>
      <c r="I995" s="4"/>
    </row>
    <row r="996" ht="15.75" customHeight="1">
      <c r="A996" s="4"/>
      <c r="B996" s="4"/>
      <c r="C996" s="4"/>
      <c r="D996" s="4"/>
      <c r="E996" s="4"/>
      <c r="F996" s="4"/>
      <c r="G996" s="4"/>
      <c r="H996" s="4"/>
      <c r="I996" s="4"/>
    </row>
    <row r="997" ht="15.75" customHeight="1">
      <c r="A997" s="4"/>
      <c r="B997" s="4"/>
      <c r="C997" s="4"/>
      <c r="D997" s="4"/>
      <c r="E997" s="4"/>
      <c r="F997" s="4"/>
      <c r="G997" s="4"/>
      <c r="H997" s="4"/>
      <c r="I997" s="4"/>
    </row>
    <row r="998" ht="15.75" customHeight="1">
      <c r="A998" s="4"/>
      <c r="B998" s="4"/>
      <c r="C998" s="4"/>
      <c r="D998" s="4"/>
      <c r="E998" s="4"/>
      <c r="F998" s="4"/>
      <c r="G998" s="4"/>
      <c r="H998" s="4"/>
      <c r="I998" s="4"/>
    </row>
    <row r="999" ht="15.75" customHeight="1">
      <c r="A999" s="4"/>
      <c r="B999" s="4"/>
      <c r="C999" s="4"/>
      <c r="D999" s="4"/>
      <c r="E999" s="4"/>
      <c r="F999" s="4"/>
      <c r="G999" s="4"/>
      <c r="H999" s="4"/>
      <c r="I999" s="4"/>
    </row>
    <row r="1000" ht="15.75" customHeight="1">
      <c r="A1000" s="4"/>
      <c r="B1000" s="4"/>
      <c r="C1000" s="4"/>
      <c r="D1000" s="4"/>
      <c r="E1000" s="4"/>
      <c r="F1000" s="4"/>
      <c r="G1000" s="4"/>
      <c r="H1000" s="4"/>
      <c r="I1000" s="4"/>
    </row>
  </sheetData>
  <mergeCells count="25">
    <mergeCell ref="A1:G1"/>
    <mergeCell ref="A2:G2"/>
    <mergeCell ref="A3:G3"/>
    <mergeCell ref="A4:G4"/>
    <mergeCell ref="A5:G5"/>
    <mergeCell ref="A7:G7"/>
    <mergeCell ref="C8:G8"/>
    <mergeCell ref="C9:G9"/>
    <mergeCell ref="C10:G10"/>
    <mergeCell ref="C11:G11"/>
    <mergeCell ref="C12:G12"/>
    <mergeCell ref="C13:G13"/>
    <mergeCell ref="C14:G14"/>
    <mergeCell ref="A15:G15"/>
    <mergeCell ref="A33:G33"/>
    <mergeCell ref="A34:G34"/>
    <mergeCell ref="A35:G35"/>
    <mergeCell ref="A36:G36"/>
    <mergeCell ref="A26:G26"/>
    <mergeCell ref="A27:G27"/>
    <mergeCell ref="A28:G28"/>
    <mergeCell ref="A29:G29"/>
    <mergeCell ref="A30:G30"/>
    <mergeCell ref="A31:G31"/>
    <mergeCell ref="A32:G32"/>
  </mergeCells>
  <conditionalFormatting sqref="B17:F23">
    <cfRule type="colorScale" priority="1">
      <colorScale>
        <cfvo type="formula" val="0"/>
        <cfvo type="max"/>
        <color rgb="FFFFFFFF"/>
        <color rgb="FF8EA9DB"/>
      </colorScale>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3.0"/>
    <col customWidth="1" min="2" max="2" width="8.0"/>
    <col customWidth="1" min="3" max="3" width="19.0"/>
    <col customWidth="1" min="4" max="4" width="29.0"/>
    <col customWidth="1" min="5" max="5" width="26.0"/>
    <col customWidth="1" min="6" max="6" width="11.0"/>
    <col customWidth="1" min="7" max="7" width="23.0"/>
    <col customWidth="1" min="8" max="8" width="32.0"/>
    <col customWidth="1" min="9" max="9" width="85.0"/>
    <col customWidth="1" min="10" max="10" width="65.0"/>
  </cols>
  <sheetData>
    <row r="1" ht="33.75" customHeight="1">
      <c r="A1" s="2" t="s">
        <v>1</v>
      </c>
      <c r="B1" s="2" t="s">
        <v>3</v>
      </c>
      <c r="C1" s="2" t="s">
        <v>22</v>
      </c>
      <c r="D1" s="2" t="s">
        <v>23</v>
      </c>
      <c r="E1" s="2" t="s">
        <v>24</v>
      </c>
      <c r="F1" s="2" t="s">
        <v>26</v>
      </c>
      <c r="G1" s="2" t="s">
        <v>27</v>
      </c>
      <c r="H1" s="2" t="s">
        <v>28</v>
      </c>
      <c r="I1" s="2" t="s">
        <v>29</v>
      </c>
      <c r="J1" s="2" t="s">
        <v>30</v>
      </c>
      <c r="K1" s="4"/>
    </row>
    <row r="2">
      <c r="A2" s="9" t="s">
        <v>37</v>
      </c>
      <c r="B2" s="9" t="s">
        <v>48</v>
      </c>
      <c r="C2" s="9" t="s">
        <v>55</v>
      </c>
      <c r="D2" s="6" t="s">
        <v>17</v>
      </c>
      <c r="E2" s="9" t="s">
        <v>65</v>
      </c>
      <c r="F2" s="9" t="s">
        <v>71</v>
      </c>
      <c r="G2" s="5" t="s">
        <v>15</v>
      </c>
      <c r="H2" s="9" t="s">
        <v>74</v>
      </c>
      <c r="I2" s="6" t="s">
        <v>76</v>
      </c>
      <c r="J2" s="6" t="s">
        <v>78</v>
      </c>
      <c r="K2" s="4"/>
    </row>
    <row r="3">
      <c r="A3" s="9" t="s">
        <v>82</v>
      </c>
      <c r="B3" s="9" t="s">
        <v>48</v>
      </c>
      <c r="C3" s="9" t="s">
        <v>55</v>
      </c>
      <c r="D3" s="6" t="s">
        <v>86</v>
      </c>
      <c r="E3" s="9" t="s">
        <v>65</v>
      </c>
      <c r="F3" s="9" t="s">
        <v>71</v>
      </c>
      <c r="G3" s="5" t="s">
        <v>89</v>
      </c>
      <c r="H3" s="9" t="s">
        <v>91</v>
      </c>
      <c r="I3" s="6" t="s">
        <v>94</v>
      </c>
      <c r="J3" s="6" t="s">
        <v>95</v>
      </c>
      <c r="K3" s="4"/>
    </row>
    <row r="4">
      <c r="A4" s="9" t="s">
        <v>98</v>
      </c>
      <c r="B4" s="9" t="s">
        <v>48</v>
      </c>
      <c r="C4" s="9" t="s">
        <v>55</v>
      </c>
      <c r="D4" s="6" t="s">
        <v>103</v>
      </c>
      <c r="E4" s="9" t="s">
        <v>106</v>
      </c>
      <c r="F4" s="9" t="s">
        <v>71</v>
      </c>
      <c r="G4" s="5" t="s">
        <v>109</v>
      </c>
      <c r="H4" s="9" t="s">
        <v>111</v>
      </c>
      <c r="I4" s="9" t="s">
        <v>112</v>
      </c>
      <c r="J4" s="9" t="s">
        <v>113</v>
      </c>
      <c r="K4" s="4"/>
    </row>
    <row r="5">
      <c r="A5" s="9" t="s">
        <v>115</v>
      </c>
      <c r="B5" s="9" t="s">
        <v>48</v>
      </c>
      <c r="C5" s="9" t="s">
        <v>55</v>
      </c>
      <c r="D5" s="9" t="s">
        <v>118</v>
      </c>
      <c r="E5" s="9" t="s">
        <v>106</v>
      </c>
      <c r="F5" s="9" t="s">
        <v>71</v>
      </c>
      <c r="G5" s="5" t="s">
        <v>123</v>
      </c>
      <c r="H5" s="9" t="s">
        <v>111</v>
      </c>
      <c r="I5" s="6" t="s">
        <v>124</v>
      </c>
      <c r="J5" s="6" t="s">
        <v>125</v>
      </c>
      <c r="K5" s="4"/>
    </row>
    <row r="6">
      <c r="A6" s="9" t="s">
        <v>127</v>
      </c>
      <c r="B6" s="9" t="s">
        <v>48</v>
      </c>
      <c r="C6" s="9" t="s">
        <v>55</v>
      </c>
      <c r="D6" s="6" t="s">
        <v>130</v>
      </c>
      <c r="E6" s="9" t="s">
        <v>106</v>
      </c>
      <c r="F6" s="9" t="s">
        <v>131</v>
      </c>
      <c r="G6" s="5" t="s">
        <v>133</v>
      </c>
      <c r="H6" s="9" t="s">
        <v>111</v>
      </c>
      <c r="I6" s="6" t="s">
        <v>136</v>
      </c>
      <c r="J6" s="6" t="s">
        <v>138</v>
      </c>
      <c r="K6" s="4"/>
    </row>
    <row r="7">
      <c r="A7" s="9" t="s">
        <v>141</v>
      </c>
      <c r="B7" s="9" t="s">
        <v>48</v>
      </c>
      <c r="C7" s="9" t="s">
        <v>55</v>
      </c>
      <c r="D7" s="6" t="s">
        <v>147</v>
      </c>
      <c r="E7" s="9" t="s">
        <v>149</v>
      </c>
      <c r="F7" s="9" t="s">
        <v>71</v>
      </c>
      <c r="G7" s="5" t="s">
        <v>154</v>
      </c>
      <c r="H7" s="9" t="s">
        <v>156</v>
      </c>
      <c r="I7" s="6" t="s">
        <v>157</v>
      </c>
      <c r="J7" s="6" t="s">
        <v>160</v>
      </c>
      <c r="K7" s="4"/>
    </row>
    <row r="8">
      <c r="A8" s="9" t="s">
        <v>161</v>
      </c>
      <c r="B8" s="9" t="s">
        <v>48</v>
      </c>
      <c r="C8" s="9" t="s">
        <v>55</v>
      </c>
      <c r="D8" s="6" t="s">
        <v>164</v>
      </c>
      <c r="E8" s="9" t="s">
        <v>65</v>
      </c>
      <c r="F8" s="9" t="s">
        <v>71</v>
      </c>
      <c r="G8" s="5" t="s">
        <v>166</v>
      </c>
      <c r="H8" s="9" t="s">
        <v>168</v>
      </c>
      <c r="I8" s="6" t="s">
        <v>170</v>
      </c>
      <c r="J8" s="6" t="s">
        <v>171</v>
      </c>
      <c r="K8" s="4"/>
    </row>
    <row r="9">
      <c r="A9" s="9" t="s">
        <v>172</v>
      </c>
      <c r="B9" s="9" t="s">
        <v>48</v>
      </c>
      <c r="C9" s="9" t="s">
        <v>55</v>
      </c>
      <c r="D9" s="6" t="s">
        <v>175</v>
      </c>
      <c r="E9" s="9" t="s">
        <v>106</v>
      </c>
      <c r="F9" s="9" t="s">
        <v>131</v>
      </c>
      <c r="G9" s="5" t="s">
        <v>133</v>
      </c>
      <c r="H9" s="9" t="s">
        <v>111</v>
      </c>
      <c r="I9" s="6" t="s">
        <v>179</v>
      </c>
      <c r="J9" s="6" t="s">
        <v>182</v>
      </c>
      <c r="K9" s="4"/>
    </row>
    <row r="10">
      <c r="A10" s="9" t="s">
        <v>183</v>
      </c>
      <c r="B10" s="9" t="s">
        <v>48</v>
      </c>
      <c r="C10" s="9" t="s">
        <v>55</v>
      </c>
      <c r="D10" s="6" t="s">
        <v>189</v>
      </c>
      <c r="E10" s="9" t="s">
        <v>191</v>
      </c>
      <c r="F10" s="9" t="s">
        <v>131</v>
      </c>
      <c r="G10" s="5" t="s">
        <v>192</v>
      </c>
      <c r="H10" s="9" t="s">
        <v>195</v>
      </c>
      <c r="I10" s="9" t="s">
        <v>197</v>
      </c>
      <c r="J10" s="6" t="s">
        <v>198</v>
      </c>
      <c r="K10" s="4"/>
    </row>
    <row r="11">
      <c r="A11" s="9" t="s">
        <v>200</v>
      </c>
      <c r="B11" s="9" t="s">
        <v>48</v>
      </c>
      <c r="C11" s="9" t="s">
        <v>55</v>
      </c>
      <c r="D11" s="6" t="s">
        <v>203</v>
      </c>
      <c r="E11" s="9" t="s">
        <v>149</v>
      </c>
      <c r="F11" s="9" t="s">
        <v>71</v>
      </c>
      <c r="G11" s="5" t="s">
        <v>207</v>
      </c>
      <c r="H11" s="9" t="s">
        <v>209</v>
      </c>
      <c r="I11" s="9" t="s">
        <v>212</v>
      </c>
      <c r="J11" s="6" t="s">
        <v>214</v>
      </c>
      <c r="K11" s="4"/>
    </row>
    <row r="12">
      <c r="A12" s="9" t="s">
        <v>217</v>
      </c>
      <c r="B12" s="9" t="s">
        <v>48</v>
      </c>
      <c r="C12" s="9" t="s">
        <v>222</v>
      </c>
      <c r="D12" s="6" t="s">
        <v>223</v>
      </c>
      <c r="E12" s="9" t="s">
        <v>226</v>
      </c>
      <c r="F12" s="9" t="s">
        <v>71</v>
      </c>
      <c r="G12" s="5" t="s">
        <v>228</v>
      </c>
      <c r="H12" s="9" t="s">
        <v>229</v>
      </c>
      <c r="I12" s="6" t="s">
        <v>230</v>
      </c>
      <c r="J12" s="6" t="s">
        <v>232</v>
      </c>
      <c r="K12" s="4"/>
    </row>
    <row r="13">
      <c r="A13" s="9" t="s">
        <v>233</v>
      </c>
      <c r="B13" s="9" t="s">
        <v>48</v>
      </c>
      <c r="C13" s="9" t="s">
        <v>222</v>
      </c>
      <c r="D13" s="6" t="s">
        <v>235</v>
      </c>
      <c r="E13" s="9" t="s">
        <v>226</v>
      </c>
      <c r="F13" s="9" t="s">
        <v>71</v>
      </c>
      <c r="G13" s="5" t="s">
        <v>238</v>
      </c>
      <c r="H13" s="9" t="s">
        <v>239</v>
      </c>
      <c r="I13" s="6" t="s">
        <v>240</v>
      </c>
      <c r="J13" s="6" t="s">
        <v>241</v>
      </c>
      <c r="K13" s="4"/>
    </row>
    <row r="14">
      <c r="A14" s="9" t="s">
        <v>242</v>
      </c>
      <c r="B14" s="9" t="s">
        <v>48</v>
      </c>
      <c r="C14" s="9" t="s">
        <v>222</v>
      </c>
      <c r="D14" s="6" t="s">
        <v>244</v>
      </c>
      <c r="E14" s="9" t="s">
        <v>226</v>
      </c>
      <c r="F14" s="9" t="s">
        <v>131</v>
      </c>
      <c r="G14" s="5" t="s">
        <v>246</v>
      </c>
      <c r="H14" s="9" t="s">
        <v>247</v>
      </c>
      <c r="I14" s="6" t="s">
        <v>249</v>
      </c>
      <c r="J14" s="6" t="s">
        <v>250</v>
      </c>
      <c r="K14" s="4"/>
    </row>
    <row r="15">
      <c r="A15" s="9" t="s">
        <v>254</v>
      </c>
      <c r="B15" s="9" t="s">
        <v>48</v>
      </c>
      <c r="C15" s="9" t="s">
        <v>222</v>
      </c>
      <c r="D15" s="6" t="s">
        <v>258</v>
      </c>
      <c r="E15" s="9" t="s">
        <v>226</v>
      </c>
      <c r="F15" s="9" t="s">
        <v>131</v>
      </c>
      <c r="G15" s="5" t="s">
        <v>260</v>
      </c>
      <c r="H15" s="9" t="s">
        <v>261</v>
      </c>
      <c r="I15" s="6" t="s">
        <v>263</v>
      </c>
      <c r="J15" s="6" t="s">
        <v>264</v>
      </c>
      <c r="K15" s="4"/>
    </row>
    <row r="16">
      <c r="A16" s="9" t="s">
        <v>265</v>
      </c>
      <c r="B16" s="9" t="s">
        <v>48</v>
      </c>
      <c r="C16" s="9" t="s">
        <v>222</v>
      </c>
      <c r="D16" s="6" t="s">
        <v>269</v>
      </c>
      <c r="E16" s="9" t="s">
        <v>149</v>
      </c>
      <c r="F16" s="9" t="s">
        <v>71</v>
      </c>
      <c r="G16" s="5" t="s">
        <v>272</v>
      </c>
      <c r="H16" s="9" t="s">
        <v>273</v>
      </c>
      <c r="I16" s="6" t="s">
        <v>274</v>
      </c>
      <c r="J16" s="6" t="s">
        <v>275</v>
      </c>
      <c r="K16" s="4"/>
    </row>
    <row r="17">
      <c r="A17" s="9" t="s">
        <v>277</v>
      </c>
      <c r="B17" s="9" t="s">
        <v>48</v>
      </c>
      <c r="C17" s="9" t="s">
        <v>222</v>
      </c>
      <c r="D17" s="6" t="s">
        <v>278</v>
      </c>
      <c r="E17" s="9" t="s">
        <v>149</v>
      </c>
      <c r="F17" s="9" t="s">
        <v>71</v>
      </c>
      <c r="G17" s="5" t="s">
        <v>284</v>
      </c>
      <c r="H17" s="9" t="s">
        <v>287</v>
      </c>
      <c r="I17" s="6" t="s">
        <v>290</v>
      </c>
      <c r="J17" s="6" t="s">
        <v>293</v>
      </c>
      <c r="K17" s="4"/>
    </row>
    <row r="18">
      <c r="A18" s="9" t="s">
        <v>296</v>
      </c>
      <c r="B18" s="9" t="s">
        <v>48</v>
      </c>
      <c r="C18" s="9" t="s">
        <v>222</v>
      </c>
      <c r="D18" s="6" t="s">
        <v>298</v>
      </c>
      <c r="E18" s="9" t="s">
        <v>149</v>
      </c>
      <c r="F18" s="9" t="s">
        <v>71</v>
      </c>
      <c r="G18" s="5" t="s">
        <v>300</v>
      </c>
      <c r="H18" s="9" t="s">
        <v>301</v>
      </c>
      <c r="I18" s="6" t="s">
        <v>304</v>
      </c>
      <c r="J18" s="6" t="s">
        <v>305</v>
      </c>
      <c r="K18" s="4"/>
    </row>
    <row r="19">
      <c r="A19" s="9" t="s">
        <v>306</v>
      </c>
      <c r="B19" s="9" t="s">
        <v>48</v>
      </c>
      <c r="C19" s="9" t="s">
        <v>222</v>
      </c>
      <c r="D19" s="6" t="s">
        <v>308</v>
      </c>
      <c r="E19" s="9" t="s">
        <v>310</v>
      </c>
      <c r="F19" s="9" t="s">
        <v>71</v>
      </c>
      <c r="G19" s="5" t="s">
        <v>312</v>
      </c>
      <c r="H19" s="9" t="s">
        <v>314</v>
      </c>
      <c r="I19" s="6" t="s">
        <v>316</v>
      </c>
      <c r="J19" s="6" t="s">
        <v>318</v>
      </c>
      <c r="K19" s="4"/>
    </row>
    <row r="20">
      <c r="A20" s="9" t="s">
        <v>320</v>
      </c>
      <c r="B20" s="9" t="s">
        <v>48</v>
      </c>
      <c r="C20" s="9" t="s">
        <v>222</v>
      </c>
      <c r="D20" s="6" t="s">
        <v>324</v>
      </c>
      <c r="E20" s="9" t="s">
        <v>310</v>
      </c>
      <c r="F20" s="9" t="s">
        <v>131</v>
      </c>
      <c r="G20" s="5" t="s">
        <v>328</v>
      </c>
      <c r="H20" s="9" t="s">
        <v>330</v>
      </c>
      <c r="I20" s="6" t="s">
        <v>336</v>
      </c>
      <c r="J20" s="6" t="s">
        <v>337</v>
      </c>
      <c r="K20" s="4"/>
    </row>
    <row r="21" ht="15.75" customHeight="1">
      <c r="A21" s="9" t="s">
        <v>339</v>
      </c>
      <c r="B21" s="9" t="s">
        <v>48</v>
      </c>
      <c r="C21" s="9" t="s">
        <v>222</v>
      </c>
      <c r="D21" s="6" t="s">
        <v>343</v>
      </c>
      <c r="E21" s="9" t="s">
        <v>310</v>
      </c>
      <c r="F21" s="9" t="s">
        <v>345</v>
      </c>
      <c r="G21" s="5" t="s">
        <v>346</v>
      </c>
      <c r="H21" s="9" t="s">
        <v>348</v>
      </c>
      <c r="I21" s="6" t="s">
        <v>349</v>
      </c>
      <c r="J21" s="6" t="s">
        <v>351</v>
      </c>
      <c r="K21" s="4"/>
    </row>
    <row r="22" ht="15.75" customHeight="1">
      <c r="A22" s="9" t="s">
        <v>352</v>
      </c>
      <c r="B22" s="9" t="s">
        <v>48</v>
      </c>
      <c r="C22" s="9" t="s">
        <v>355</v>
      </c>
      <c r="D22" s="6" t="s">
        <v>357</v>
      </c>
      <c r="E22" s="9" t="s">
        <v>359</v>
      </c>
      <c r="F22" s="9" t="s">
        <v>71</v>
      </c>
      <c r="G22" s="5" t="s">
        <v>362</v>
      </c>
      <c r="H22" s="9" t="s">
        <v>363</v>
      </c>
      <c r="I22" s="9" t="s">
        <v>365</v>
      </c>
      <c r="J22" s="6" t="s">
        <v>366</v>
      </c>
      <c r="K22" s="4"/>
    </row>
    <row r="23" ht="15.75" customHeight="1">
      <c r="A23" s="9" t="s">
        <v>368</v>
      </c>
      <c r="B23" s="9" t="s">
        <v>48</v>
      </c>
      <c r="C23" s="9" t="s">
        <v>355</v>
      </c>
      <c r="D23" s="6" t="s">
        <v>374</v>
      </c>
      <c r="E23" s="9" t="s">
        <v>359</v>
      </c>
      <c r="F23" s="9" t="s">
        <v>71</v>
      </c>
      <c r="G23" s="5" t="s">
        <v>379</v>
      </c>
      <c r="H23" s="9" t="s">
        <v>380</v>
      </c>
      <c r="I23" s="6" t="s">
        <v>381</v>
      </c>
      <c r="J23" s="6" t="s">
        <v>382</v>
      </c>
      <c r="K23" s="4"/>
    </row>
    <row r="24" ht="15.75" customHeight="1">
      <c r="A24" s="9" t="s">
        <v>385</v>
      </c>
      <c r="B24" s="9" t="s">
        <v>48</v>
      </c>
      <c r="C24" s="9" t="s">
        <v>355</v>
      </c>
      <c r="D24" s="6" t="s">
        <v>389</v>
      </c>
      <c r="E24" s="9" t="s">
        <v>359</v>
      </c>
      <c r="F24" s="9" t="s">
        <v>71</v>
      </c>
      <c r="G24" s="5" t="s">
        <v>392</v>
      </c>
      <c r="H24" s="9" t="s">
        <v>394</v>
      </c>
      <c r="I24" s="6" t="s">
        <v>396</v>
      </c>
      <c r="J24" s="6" t="s">
        <v>398</v>
      </c>
      <c r="K24" s="4"/>
    </row>
    <row r="25" ht="15.75" customHeight="1">
      <c r="A25" s="9" t="s">
        <v>401</v>
      </c>
      <c r="B25" s="9" t="s">
        <v>48</v>
      </c>
      <c r="C25" s="9" t="s">
        <v>355</v>
      </c>
      <c r="D25" s="6" t="s">
        <v>405</v>
      </c>
      <c r="E25" s="9" t="s">
        <v>149</v>
      </c>
      <c r="F25" s="9" t="s">
        <v>71</v>
      </c>
      <c r="G25" s="5" t="s">
        <v>408</v>
      </c>
      <c r="H25" s="9" t="s">
        <v>410</v>
      </c>
      <c r="I25" s="6" t="s">
        <v>411</v>
      </c>
      <c r="J25" s="6" t="s">
        <v>413</v>
      </c>
      <c r="K25" s="4"/>
    </row>
    <row r="26" ht="15.75" customHeight="1">
      <c r="A26" s="9" t="s">
        <v>415</v>
      </c>
      <c r="B26" s="9" t="s">
        <v>48</v>
      </c>
      <c r="C26" s="9" t="s">
        <v>355</v>
      </c>
      <c r="D26" s="6" t="s">
        <v>418</v>
      </c>
      <c r="E26" s="9" t="s">
        <v>149</v>
      </c>
      <c r="F26" s="9" t="s">
        <v>71</v>
      </c>
      <c r="G26" s="5" t="s">
        <v>422</v>
      </c>
      <c r="H26" s="9" t="s">
        <v>424</v>
      </c>
      <c r="I26" s="6" t="s">
        <v>425</v>
      </c>
      <c r="J26" s="9" t="s">
        <v>427</v>
      </c>
      <c r="K26" s="4"/>
    </row>
    <row r="27" ht="15.75" customHeight="1">
      <c r="A27" s="9" t="s">
        <v>429</v>
      </c>
      <c r="B27" s="9" t="s">
        <v>48</v>
      </c>
      <c r="C27" s="9" t="s">
        <v>355</v>
      </c>
      <c r="D27" s="6" t="s">
        <v>435</v>
      </c>
      <c r="E27" s="9" t="s">
        <v>310</v>
      </c>
      <c r="F27" s="9" t="s">
        <v>71</v>
      </c>
      <c r="G27" s="5" t="s">
        <v>441</v>
      </c>
      <c r="H27" s="9" t="s">
        <v>443</v>
      </c>
      <c r="I27" s="6" t="s">
        <v>444</v>
      </c>
      <c r="J27" s="6" t="s">
        <v>446</v>
      </c>
      <c r="K27" s="4"/>
    </row>
    <row r="28" ht="15.75" customHeight="1">
      <c r="A28" s="9" t="s">
        <v>448</v>
      </c>
      <c r="B28" s="9" t="s">
        <v>48</v>
      </c>
      <c r="C28" s="9" t="s">
        <v>355</v>
      </c>
      <c r="D28" s="6" t="s">
        <v>451</v>
      </c>
      <c r="E28" s="9" t="s">
        <v>310</v>
      </c>
      <c r="F28" s="9" t="s">
        <v>131</v>
      </c>
      <c r="G28" s="5" t="s">
        <v>455</v>
      </c>
      <c r="H28" s="9" t="s">
        <v>330</v>
      </c>
      <c r="I28" s="6" t="s">
        <v>457</v>
      </c>
      <c r="J28" s="6" t="s">
        <v>458</v>
      </c>
      <c r="K28" s="4"/>
    </row>
    <row r="29" ht="15.75" customHeight="1">
      <c r="A29" s="9" t="s">
        <v>461</v>
      </c>
      <c r="B29" s="9" t="s">
        <v>48</v>
      </c>
      <c r="C29" s="9" t="s">
        <v>355</v>
      </c>
      <c r="D29" s="6" t="s">
        <v>464</v>
      </c>
      <c r="E29" s="9" t="s">
        <v>465</v>
      </c>
      <c r="F29" s="9" t="s">
        <v>131</v>
      </c>
      <c r="G29" s="5" t="s">
        <v>468</v>
      </c>
      <c r="H29" s="9" t="s">
        <v>469</v>
      </c>
      <c r="I29" s="6" t="s">
        <v>472</v>
      </c>
      <c r="J29" s="6" t="s">
        <v>473</v>
      </c>
      <c r="K29" s="4"/>
    </row>
    <row r="30" ht="15.75" customHeight="1">
      <c r="A30" s="9" t="s">
        <v>476</v>
      </c>
      <c r="B30" s="9" t="s">
        <v>48</v>
      </c>
      <c r="C30" s="9" t="s">
        <v>482</v>
      </c>
      <c r="D30" s="6" t="s">
        <v>483</v>
      </c>
      <c r="E30" s="9" t="s">
        <v>465</v>
      </c>
      <c r="F30" s="9" t="s">
        <v>71</v>
      </c>
      <c r="G30" s="5" t="s">
        <v>487</v>
      </c>
      <c r="H30" s="9" t="s">
        <v>489</v>
      </c>
      <c r="I30" s="9" t="s">
        <v>490</v>
      </c>
      <c r="J30" s="6" t="s">
        <v>491</v>
      </c>
      <c r="K30" s="4"/>
    </row>
    <row r="31" ht="15.75" customHeight="1">
      <c r="A31" s="9" t="s">
        <v>493</v>
      </c>
      <c r="B31" s="9" t="s">
        <v>48</v>
      </c>
      <c r="C31" s="9" t="s">
        <v>482</v>
      </c>
      <c r="D31" s="6" t="s">
        <v>496</v>
      </c>
      <c r="E31" s="9" t="s">
        <v>465</v>
      </c>
      <c r="F31" s="9" t="s">
        <v>71</v>
      </c>
      <c r="G31" s="5" t="s">
        <v>499</v>
      </c>
      <c r="H31" s="9" t="s">
        <v>500</v>
      </c>
      <c r="I31" s="6" t="s">
        <v>502</v>
      </c>
      <c r="J31" s="9" t="s">
        <v>505</v>
      </c>
      <c r="K31" s="4"/>
    </row>
    <row r="32" ht="15.75" customHeight="1">
      <c r="A32" s="9" t="s">
        <v>507</v>
      </c>
      <c r="B32" s="9" t="s">
        <v>48</v>
      </c>
      <c r="C32" s="9" t="s">
        <v>482</v>
      </c>
      <c r="D32" s="6" t="s">
        <v>509</v>
      </c>
      <c r="E32" s="9" t="s">
        <v>465</v>
      </c>
      <c r="F32" s="9" t="s">
        <v>345</v>
      </c>
      <c r="G32" s="5" t="s">
        <v>514</v>
      </c>
      <c r="H32" s="9" t="s">
        <v>516</v>
      </c>
      <c r="I32" s="6" t="s">
        <v>518</v>
      </c>
      <c r="J32" s="6" t="s">
        <v>520</v>
      </c>
      <c r="K32" s="4"/>
    </row>
    <row r="33" ht="15.75" customHeight="1">
      <c r="A33" s="9" t="s">
        <v>523</v>
      </c>
      <c r="B33" s="9" t="s">
        <v>48</v>
      </c>
      <c r="C33" s="9" t="s">
        <v>482</v>
      </c>
      <c r="D33" s="6" t="s">
        <v>527</v>
      </c>
      <c r="E33" s="9" t="s">
        <v>465</v>
      </c>
      <c r="F33" s="9" t="s">
        <v>71</v>
      </c>
      <c r="G33" s="5" t="s">
        <v>529</v>
      </c>
      <c r="H33" s="9" t="s">
        <v>531</v>
      </c>
      <c r="I33" s="6" t="s">
        <v>533</v>
      </c>
      <c r="J33" s="6" t="s">
        <v>534</v>
      </c>
      <c r="K33" s="4"/>
    </row>
    <row r="34" ht="15.75" customHeight="1">
      <c r="A34" s="9" t="s">
        <v>536</v>
      </c>
      <c r="B34" s="9" t="s">
        <v>48</v>
      </c>
      <c r="C34" s="9" t="s">
        <v>482</v>
      </c>
      <c r="D34" s="6" t="s">
        <v>539</v>
      </c>
      <c r="E34" s="9" t="s">
        <v>465</v>
      </c>
      <c r="F34" s="9" t="s">
        <v>71</v>
      </c>
      <c r="G34" s="5" t="s">
        <v>543</v>
      </c>
      <c r="H34" s="9" t="s">
        <v>544</v>
      </c>
      <c r="I34" s="6" t="s">
        <v>545</v>
      </c>
      <c r="J34" s="6" t="s">
        <v>547</v>
      </c>
      <c r="K34" s="4"/>
    </row>
    <row r="35" ht="15.75" customHeight="1">
      <c r="A35" s="9" t="s">
        <v>549</v>
      </c>
      <c r="B35" s="9" t="s">
        <v>48</v>
      </c>
      <c r="C35" s="9" t="s">
        <v>552</v>
      </c>
      <c r="D35" s="6" t="s">
        <v>554</v>
      </c>
      <c r="E35" s="9" t="s">
        <v>557</v>
      </c>
      <c r="F35" s="9" t="s">
        <v>71</v>
      </c>
      <c r="G35" s="5" t="s">
        <v>432</v>
      </c>
      <c r="H35" s="9" t="s">
        <v>562</v>
      </c>
      <c r="I35" s="9" t="s">
        <v>564</v>
      </c>
      <c r="J35" s="6" t="s">
        <v>566</v>
      </c>
      <c r="K35" s="4"/>
    </row>
    <row r="36" ht="15.75" customHeight="1">
      <c r="A36" s="9" t="s">
        <v>567</v>
      </c>
      <c r="B36" s="9" t="s">
        <v>48</v>
      </c>
      <c r="C36" s="9" t="s">
        <v>552</v>
      </c>
      <c r="D36" s="6" t="s">
        <v>570</v>
      </c>
      <c r="E36" s="9" t="s">
        <v>557</v>
      </c>
      <c r="F36" s="9" t="s">
        <v>71</v>
      </c>
      <c r="G36" s="5" t="s">
        <v>346</v>
      </c>
      <c r="H36" s="9" t="s">
        <v>574</v>
      </c>
      <c r="I36" s="6" t="s">
        <v>576</v>
      </c>
      <c r="J36" s="9" t="s">
        <v>578</v>
      </c>
      <c r="K36" s="4"/>
    </row>
    <row r="37" ht="15.75" customHeight="1">
      <c r="A37" s="9" t="s">
        <v>580</v>
      </c>
      <c r="B37" s="9" t="s">
        <v>48</v>
      </c>
      <c r="C37" s="9" t="s">
        <v>552</v>
      </c>
      <c r="D37" s="6" t="s">
        <v>477</v>
      </c>
      <c r="E37" s="9" t="s">
        <v>557</v>
      </c>
      <c r="F37" s="9" t="s">
        <v>71</v>
      </c>
      <c r="G37" s="5" t="s">
        <v>474</v>
      </c>
      <c r="H37" s="9" t="s">
        <v>585</v>
      </c>
      <c r="I37" s="6" t="s">
        <v>586</v>
      </c>
      <c r="J37" s="6" t="s">
        <v>587</v>
      </c>
      <c r="K37" s="4"/>
    </row>
    <row r="38" ht="15.75" customHeight="1">
      <c r="A38" s="9" t="s">
        <v>590</v>
      </c>
      <c r="B38" s="9" t="s">
        <v>48</v>
      </c>
      <c r="C38" s="9" t="s">
        <v>552</v>
      </c>
      <c r="D38" s="6" t="s">
        <v>594</v>
      </c>
      <c r="E38" s="9" t="s">
        <v>557</v>
      </c>
      <c r="F38" s="9" t="s">
        <v>131</v>
      </c>
      <c r="G38" s="5" t="s">
        <v>599</v>
      </c>
      <c r="H38" s="9" t="s">
        <v>601</v>
      </c>
      <c r="I38" s="6" t="s">
        <v>603</v>
      </c>
      <c r="J38" s="6" t="s">
        <v>604</v>
      </c>
      <c r="K38" s="4"/>
    </row>
    <row r="39" ht="15.75" customHeight="1">
      <c r="A39" s="9" t="s">
        <v>606</v>
      </c>
      <c r="B39" s="9" t="s">
        <v>48</v>
      </c>
      <c r="C39" s="9" t="s">
        <v>552</v>
      </c>
      <c r="D39" s="6" t="s">
        <v>610</v>
      </c>
      <c r="E39" s="9" t="s">
        <v>191</v>
      </c>
      <c r="F39" s="9" t="s">
        <v>71</v>
      </c>
      <c r="G39" s="5" t="s">
        <v>599</v>
      </c>
      <c r="H39" s="9" t="s">
        <v>613</v>
      </c>
      <c r="I39" s="6" t="s">
        <v>615</v>
      </c>
      <c r="J39" s="6" t="s">
        <v>617</v>
      </c>
      <c r="K39" s="4"/>
    </row>
    <row r="40" ht="15.75" customHeight="1">
      <c r="A40" s="9" t="s">
        <v>619</v>
      </c>
      <c r="B40" s="9" t="s">
        <v>48</v>
      </c>
      <c r="C40" s="9" t="s">
        <v>552</v>
      </c>
      <c r="D40" s="6" t="s">
        <v>621</v>
      </c>
      <c r="E40" s="9" t="s">
        <v>624</v>
      </c>
      <c r="F40" s="9" t="s">
        <v>71</v>
      </c>
      <c r="G40" s="5" t="s">
        <v>625</v>
      </c>
      <c r="H40" s="9" t="s">
        <v>627</v>
      </c>
      <c r="I40" s="6" t="s">
        <v>629</v>
      </c>
      <c r="J40" s="6" t="s">
        <v>630</v>
      </c>
      <c r="K40" s="4"/>
    </row>
    <row r="41" ht="15.75" customHeight="1">
      <c r="A41" s="9" t="s">
        <v>632</v>
      </c>
      <c r="B41" s="9" t="s">
        <v>48</v>
      </c>
      <c r="C41" s="9" t="s">
        <v>552</v>
      </c>
      <c r="D41" s="6" t="s">
        <v>638</v>
      </c>
      <c r="E41" s="9" t="s">
        <v>624</v>
      </c>
      <c r="F41" s="9" t="s">
        <v>71</v>
      </c>
      <c r="G41" s="5" t="s">
        <v>422</v>
      </c>
      <c r="H41" s="9" t="s">
        <v>644</v>
      </c>
      <c r="I41" s="6" t="s">
        <v>645</v>
      </c>
      <c r="J41" s="9" t="s">
        <v>647</v>
      </c>
      <c r="K41" s="4"/>
    </row>
    <row r="42" ht="15.75" customHeight="1">
      <c r="A42" s="9" t="s">
        <v>649</v>
      </c>
      <c r="B42" s="9" t="s">
        <v>48</v>
      </c>
      <c r="C42" s="9" t="s">
        <v>552</v>
      </c>
      <c r="D42" s="6" t="s">
        <v>652</v>
      </c>
      <c r="E42" s="9" t="s">
        <v>624</v>
      </c>
      <c r="F42" s="9" t="s">
        <v>71</v>
      </c>
      <c r="G42" s="5" t="s">
        <v>422</v>
      </c>
      <c r="H42" s="9" t="s">
        <v>655</v>
      </c>
      <c r="I42" s="6" t="s">
        <v>657</v>
      </c>
      <c r="J42" s="6" t="s">
        <v>659</v>
      </c>
      <c r="K42" s="4"/>
    </row>
    <row r="43" ht="15.75" customHeight="1">
      <c r="A43" s="9" t="s">
        <v>661</v>
      </c>
      <c r="B43" s="9" t="s">
        <v>48</v>
      </c>
      <c r="C43" s="9" t="s">
        <v>552</v>
      </c>
      <c r="D43" s="6" t="s">
        <v>662</v>
      </c>
      <c r="E43" s="9" t="s">
        <v>624</v>
      </c>
      <c r="F43" s="9" t="s">
        <v>71</v>
      </c>
      <c r="G43" s="5" t="s">
        <v>422</v>
      </c>
      <c r="H43" s="9" t="s">
        <v>666</v>
      </c>
      <c r="I43" s="6" t="s">
        <v>667</v>
      </c>
      <c r="J43" s="6" t="s">
        <v>669</v>
      </c>
      <c r="K43" s="4"/>
    </row>
    <row r="44" ht="15.75" customHeight="1">
      <c r="A44" s="9" t="s">
        <v>672</v>
      </c>
      <c r="B44" s="9" t="s">
        <v>48</v>
      </c>
      <c r="C44" s="9" t="s">
        <v>552</v>
      </c>
      <c r="D44" s="6" t="s">
        <v>678</v>
      </c>
      <c r="E44" s="9" t="s">
        <v>557</v>
      </c>
      <c r="F44" s="9" t="s">
        <v>71</v>
      </c>
      <c r="G44" s="5" t="s">
        <v>599</v>
      </c>
      <c r="H44" s="6" t="s">
        <v>685</v>
      </c>
      <c r="I44" s="6" t="s">
        <v>686</v>
      </c>
      <c r="J44" s="6" t="s">
        <v>688</v>
      </c>
      <c r="K44" s="4"/>
    </row>
    <row r="45" ht="15.75" customHeight="1">
      <c r="A45" s="9" t="s">
        <v>690</v>
      </c>
      <c r="B45" s="9" t="s">
        <v>48</v>
      </c>
      <c r="C45" s="9" t="s">
        <v>552</v>
      </c>
      <c r="D45" s="6" t="s">
        <v>694</v>
      </c>
      <c r="E45" s="9" t="s">
        <v>149</v>
      </c>
      <c r="F45" s="9" t="s">
        <v>71</v>
      </c>
      <c r="G45" s="5" t="s">
        <v>697</v>
      </c>
      <c r="H45" s="9" t="s">
        <v>698</v>
      </c>
      <c r="I45" s="6" t="s">
        <v>701</v>
      </c>
      <c r="J45" s="6" t="s">
        <v>704</v>
      </c>
      <c r="K45" s="4"/>
    </row>
    <row r="46" ht="15.75" customHeight="1">
      <c r="A46" s="9" t="s">
        <v>705</v>
      </c>
      <c r="B46" s="9" t="s">
        <v>48</v>
      </c>
      <c r="C46" s="9" t="s">
        <v>707</v>
      </c>
      <c r="D46" s="6" t="s">
        <v>709</v>
      </c>
      <c r="E46" s="9" t="s">
        <v>149</v>
      </c>
      <c r="F46" s="9" t="s">
        <v>71</v>
      </c>
      <c r="G46" s="5" t="s">
        <v>713</v>
      </c>
      <c r="H46" s="9" t="s">
        <v>716</v>
      </c>
      <c r="I46" s="6" t="s">
        <v>720</v>
      </c>
      <c r="J46" s="6" t="s">
        <v>721</v>
      </c>
      <c r="K46" s="4"/>
    </row>
    <row r="47" ht="15.75" customHeight="1">
      <c r="A47" s="9" t="s">
        <v>723</v>
      </c>
      <c r="B47" s="9" t="s">
        <v>48</v>
      </c>
      <c r="C47" s="9" t="s">
        <v>707</v>
      </c>
      <c r="D47" s="6" t="s">
        <v>726</v>
      </c>
      <c r="E47" s="9" t="s">
        <v>727</v>
      </c>
      <c r="F47" s="9" t="s">
        <v>71</v>
      </c>
      <c r="G47" s="5" t="s">
        <v>137</v>
      </c>
      <c r="H47" s="9" t="s">
        <v>730</v>
      </c>
      <c r="I47" s="6" t="s">
        <v>731</v>
      </c>
      <c r="J47" s="6" t="s">
        <v>733</v>
      </c>
      <c r="K47" s="4"/>
    </row>
    <row r="48" ht="15.75" customHeight="1">
      <c r="A48" s="9" t="s">
        <v>734</v>
      </c>
      <c r="B48" s="9" t="s">
        <v>48</v>
      </c>
      <c r="C48" s="9" t="s">
        <v>707</v>
      </c>
      <c r="D48" s="6" t="s">
        <v>737</v>
      </c>
      <c r="E48" s="9" t="s">
        <v>557</v>
      </c>
      <c r="F48" s="9" t="s">
        <v>71</v>
      </c>
      <c r="G48" s="5" t="s">
        <v>137</v>
      </c>
      <c r="H48" s="9" t="s">
        <v>739</v>
      </c>
      <c r="I48" s="6" t="s">
        <v>741</v>
      </c>
      <c r="J48" s="6" t="s">
        <v>742</v>
      </c>
      <c r="K48" s="4"/>
    </row>
    <row r="49" ht="15.75" customHeight="1">
      <c r="A49" s="9" t="s">
        <v>744</v>
      </c>
      <c r="B49" s="9" t="s">
        <v>48</v>
      </c>
      <c r="C49" s="9" t="s">
        <v>707</v>
      </c>
      <c r="D49" s="6" t="s">
        <v>751</v>
      </c>
      <c r="E49" s="9" t="s">
        <v>755</v>
      </c>
      <c r="F49" s="9" t="s">
        <v>71</v>
      </c>
      <c r="G49" s="5" t="s">
        <v>137</v>
      </c>
      <c r="H49" s="9" t="s">
        <v>493</v>
      </c>
      <c r="I49" s="6" t="s">
        <v>757</v>
      </c>
      <c r="J49" s="6" t="s">
        <v>759</v>
      </c>
      <c r="K49" s="4"/>
    </row>
    <row r="50" ht="15.75" customHeight="1">
      <c r="A50" s="9" t="s">
        <v>761</v>
      </c>
      <c r="B50" s="9" t="s">
        <v>48</v>
      </c>
      <c r="C50" s="9" t="s">
        <v>707</v>
      </c>
      <c r="D50" s="6" t="s">
        <v>764</v>
      </c>
      <c r="E50" s="9" t="s">
        <v>755</v>
      </c>
      <c r="F50" s="9" t="s">
        <v>71</v>
      </c>
      <c r="G50" s="5" t="s">
        <v>767</v>
      </c>
      <c r="H50" s="9" t="s">
        <v>768</v>
      </c>
      <c r="I50" s="6" t="s">
        <v>770</v>
      </c>
      <c r="J50" s="6" t="s">
        <v>772</v>
      </c>
      <c r="K50" s="4"/>
    </row>
    <row r="51" ht="15.75" customHeight="1">
      <c r="A51" s="9" t="s">
        <v>774</v>
      </c>
      <c r="B51" s="9" t="s">
        <v>48</v>
      </c>
      <c r="C51" s="9" t="s">
        <v>707</v>
      </c>
      <c r="D51" s="6" t="s">
        <v>384</v>
      </c>
      <c r="E51" s="9" t="s">
        <v>755</v>
      </c>
      <c r="F51" s="9" t="s">
        <v>71</v>
      </c>
      <c r="G51" s="5" t="s">
        <v>777</v>
      </c>
      <c r="H51" s="9" t="s">
        <v>778</v>
      </c>
      <c r="I51" s="6" t="s">
        <v>779</v>
      </c>
      <c r="J51" s="6" t="s">
        <v>780</v>
      </c>
      <c r="K51" s="4"/>
    </row>
    <row r="52" ht="15.75" customHeight="1">
      <c r="A52" s="9" t="s">
        <v>781</v>
      </c>
      <c r="B52" s="9" t="s">
        <v>48</v>
      </c>
      <c r="C52" s="9" t="s">
        <v>707</v>
      </c>
      <c r="D52" s="6" t="s">
        <v>782</v>
      </c>
      <c r="E52" s="9" t="s">
        <v>755</v>
      </c>
      <c r="F52" s="9" t="s">
        <v>71</v>
      </c>
      <c r="G52" s="5" t="s">
        <v>783</v>
      </c>
      <c r="H52" s="9" t="s">
        <v>784</v>
      </c>
      <c r="I52" s="6" t="s">
        <v>785</v>
      </c>
      <c r="J52" s="6" t="s">
        <v>786</v>
      </c>
      <c r="K52" s="4"/>
    </row>
    <row r="53" ht="15.75" customHeight="1">
      <c r="A53" s="9" t="s">
        <v>787</v>
      </c>
      <c r="B53" s="9" t="s">
        <v>48</v>
      </c>
      <c r="C53" s="9" t="s">
        <v>707</v>
      </c>
      <c r="D53" s="6" t="s">
        <v>788</v>
      </c>
      <c r="E53" s="9" t="s">
        <v>755</v>
      </c>
      <c r="F53" s="9" t="s">
        <v>131</v>
      </c>
      <c r="G53" s="5" t="s">
        <v>137</v>
      </c>
      <c r="H53" s="9" t="s">
        <v>661</v>
      </c>
      <c r="I53" s="6" t="s">
        <v>791</v>
      </c>
      <c r="J53" s="6" t="s">
        <v>793</v>
      </c>
      <c r="K53" s="4"/>
    </row>
    <row r="54" ht="15.75" customHeight="1">
      <c r="A54" s="9" t="s">
        <v>795</v>
      </c>
      <c r="B54" s="9" t="s">
        <v>48</v>
      </c>
      <c r="C54" s="9" t="s">
        <v>707</v>
      </c>
      <c r="D54" s="6" t="s">
        <v>797</v>
      </c>
      <c r="E54" s="9" t="s">
        <v>624</v>
      </c>
      <c r="F54" s="9" t="s">
        <v>71</v>
      </c>
      <c r="G54" s="5" t="s">
        <v>767</v>
      </c>
      <c r="H54" s="9" t="s">
        <v>798</v>
      </c>
      <c r="I54" s="6" t="s">
        <v>799</v>
      </c>
      <c r="J54" s="9" t="s">
        <v>800</v>
      </c>
      <c r="K54" s="4"/>
    </row>
    <row r="55" ht="15.75" customHeight="1">
      <c r="A55" s="9" t="s">
        <v>801</v>
      </c>
      <c r="B55" s="9" t="s">
        <v>48</v>
      </c>
      <c r="C55" s="9" t="s">
        <v>707</v>
      </c>
      <c r="D55" s="6" t="s">
        <v>802</v>
      </c>
      <c r="E55" s="9" t="s">
        <v>755</v>
      </c>
      <c r="F55" s="9" t="s">
        <v>71</v>
      </c>
      <c r="G55" s="5" t="s">
        <v>767</v>
      </c>
      <c r="H55" s="9" t="s">
        <v>803</v>
      </c>
      <c r="I55" s="6" t="s">
        <v>804</v>
      </c>
      <c r="J55" s="6" t="s">
        <v>805</v>
      </c>
      <c r="K55" s="4"/>
    </row>
    <row r="56" ht="15.75" customHeight="1">
      <c r="A56" s="9" t="s">
        <v>806</v>
      </c>
      <c r="B56" s="9" t="s">
        <v>48</v>
      </c>
      <c r="C56" s="9" t="s">
        <v>707</v>
      </c>
      <c r="D56" s="6" t="s">
        <v>807</v>
      </c>
      <c r="E56" s="9" t="s">
        <v>149</v>
      </c>
      <c r="F56" s="9" t="s">
        <v>71</v>
      </c>
      <c r="G56" s="5" t="s">
        <v>808</v>
      </c>
      <c r="H56" s="9" t="s">
        <v>809</v>
      </c>
      <c r="I56" s="6" t="s">
        <v>811</v>
      </c>
      <c r="J56" s="6" t="s">
        <v>812</v>
      </c>
      <c r="K56" s="4"/>
    </row>
    <row r="57" ht="15.75" customHeight="1">
      <c r="A57" s="9" t="s">
        <v>814</v>
      </c>
      <c r="B57" s="9" t="s">
        <v>48</v>
      </c>
      <c r="C57" s="9" t="s">
        <v>707</v>
      </c>
      <c r="D57" s="6" t="s">
        <v>815</v>
      </c>
      <c r="E57" s="9" t="s">
        <v>755</v>
      </c>
      <c r="F57" s="9" t="s">
        <v>71</v>
      </c>
      <c r="G57" s="5" t="s">
        <v>816</v>
      </c>
      <c r="H57" s="9" t="s">
        <v>817</v>
      </c>
      <c r="I57" s="6" t="s">
        <v>818</v>
      </c>
      <c r="J57" s="6" t="s">
        <v>820</v>
      </c>
      <c r="K57" s="4"/>
    </row>
    <row r="58" ht="15.75" customHeight="1">
      <c r="A58" s="9" t="s">
        <v>821</v>
      </c>
      <c r="B58" s="9" t="s">
        <v>48</v>
      </c>
      <c r="C58" s="9" t="s">
        <v>707</v>
      </c>
      <c r="D58" s="6" t="s">
        <v>825</v>
      </c>
      <c r="E58" s="9" t="s">
        <v>149</v>
      </c>
      <c r="F58" s="9" t="s">
        <v>71</v>
      </c>
      <c r="G58" s="5" t="s">
        <v>826</v>
      </c>
      <c r="H58" s="9" t="s">
        <v>827</v>
      </c>
      <c r="I58" s="6" t="s">
        <v>828</v>
      </c>
      <c r="J58" s="6" t="s">
        <v>829</v>
      </c>
      <c r="K58" s="4"/>
    </row>
    <row r="59" ht="15.75" customHeight="1">
      <c r="A59" s="9" t="s">
        <v>830</v>
      </c>
      <c r="B59" s="9" t="s">
        <v>48</v>
      </c>
      <c r="C59" s="9" t="s">
        <v>707</v>
      </c>
      <c r="D59" s="6" t="s">
        <v>831</v>
      </c>
      <c r="E59" s="9" t="s">
        <v>557</v>
      </c>
      <c r="F59" s="6" t="s">
        <v>71</v>
      </c>
      <c r="G59" s="5" t="s">
        <v>137</v>
      </c>
      <c r="H59" s="9" t="s">
        <v>832</v>
      </c>
      <c r="I59" s="6" t="s">
        <v>833</v>
      </c>
      <c r="J59" s="6" t="s">
        <v>834</v>
      </c>
      <c r="K59" s="4"/>
    </row>
    <row r="60" ht="15.75" customHeight="1">
      <c r="A60" s="9" t="s">
        <v>835</v>
      </c>
      <c r="B60" s="9" t="s">
        <v>48</v>
      </c>
      <c r="C60" s="9" t="s">
        <v>707</v>
      </c>
      <c r="D60" s="6" t="s">
        <v>836</v>
      </c>
      <c r="E60" s="9" t="s">
        <v>465</v>
      </c>
      <c r="F60" s="9" t="s">
        <v>131</v>
      </c>
      <c r="G60" s="5" t="s">
        <v>837</v>
      </c>
      <c r="H60" s="9" t="s">
        <v>137</v>
      </c>
      <c r="I60" s="6" t="s">
        <v>838</v>
      </c>
      <c r="J60" s="6" t="s">
        <v>839</v>
      </c>
      <c r="K60" s="4"/>
    </row>
    <row r="61" ht="15.75" customHeight="1">
      <c r="A61" s="9" t="s">
        <v>844</v>
      </c>
      <c r="B61" s="9" t="s">
        <v>48</v>
      </c>
      <c r="C61" s="9" t="s">
        <v>707</v>
      </c>
      <c r="D61" s="6" t="s">
        <v>847</v>
      </c>
      <c r="E61" s="9" t="s">
        <v>149</v>
      </c>
      <c r="F61" s="9" t="s">
        <v>71</v>
      </c>
      <c r="G61" s="5" t="s">
        <v>697</v>
      </c>
      <c r="H61" s="9" t="s">
        <v>848</v>
      </c>
      <c r="I61" s="6" t="s">
        <v>849</v>
      </c>
      <c r="J61" s="6" t="s">
        <v>850</v>
      </c>
      <c r="K61" s="4"/>
    </row>
    <row r="62" ht="15.75" customHeight="1">
      <c r="A62" s="9" t="s">
        <v>851</v>
      </c>
      <c r="B62" s="9" t="s">
        <v>48</v>
      </c>
      <c r="C62" s="9" t="s">
        <v>707</v>
      </c>
      <c r="D62" s="6" t="s">
        <v>403</v>
      </c>
      <c r="E62" s="9" t="s">
        <v>359</v>
      </c>
      <c r="F62" s="9" t="s">
        <v>71</v>
      </c>
      <c r="G62" s="5" t="s">
        <v>392</v>
      </c>
      <c r="H62" s="9" t="s">
        <v>852</v>
      </c>
      <c r="I62" s="6" t="s">
        <v>853</v>
      </c>
      <c r="J62" s="6" t="s">
        <v>854</v>
      </c>
      <c r="K62" s="4"/>
    </row>
    <row r="63" ht="15.75" customHeight="1">
      <c r="A63" s="9" t="s">
        <v>855</v>
      </c>
      <c r="B63" s="9" t="s">
        <v>856</v>
      </c>
      <c r="C63" s="9" t="s">
        <v>789</v>
      </c>
      <c r="D63" s="6" t="s">
        <v>858</v>
      </c>
      <c r="E63" s="9" t="s">
        <v>860</v>
      </c>
      <c r="F63" s="9" t="s">
        <v>71</v>
      </c>
      <c r="G63" s="5" t="s">
        <v>137</v>
      </c>
      <c r="H63" s="9" t="s">
        <v>137</v>
      </c>
      <c r="I63" s="6" t="s">
        <v>864</v>
      </c>
      <c r="J63" s="6" t="s">
        <v>866</v>
      </c>
      <c r="K63" s="4"/>
    </row>
    <row r="64" ht="15.75" customHeight="1">
      <c r="A64" s="9" t="s">
        <v>868</v>
      </c>
      <c r="B64" s="9" t="s">
        <v>856</v>
      </c>
      <c r="C64" s="9" t="s">
        <v>789</v>
      </c>
      <c r="D64" s="6" t="s">
        <v>870</v>
      </c>
      <c r="E64" s="9" t="s">
        <v>557</v>
      </c>
      <c r="F64" s="9" t="s">
        <v>71</v>
      </c>
      <c r="G64" s="5" t="s">
        <v>137</v>
      </c>
      <c r="H64" s="9" t="s">
        <v>137</v>
      </c>
      <c r="I64" s="6" t="s">
        <v>872</v>
      </c>
      <c r="J64" s="6" t="s">
        <v>873</v>
      </c>
      <c r="K64" s="4"/>
    </row>
    <row r="65" ht="15.75" customHeight="1">
      <c r="A65" s="21" t="s">
        <v>875</v>
      </c>
      <c r="B65" s="21" t="s">
        <v>856</v>
      </c>
      <c r="C65" s="21" t="s">
        <v>789</v>
      </c>
      <c r="D65" s="21" t="s">
        <v>877</v>
      </c>
      <c r="E65" s="21" t="s">
        <v>149</v>
      </c>
      <c r="F65" s="21" t="s">
        <v>71</v>
      </c>
      <c r="G65" s="24" t="s">
        <v>137</v>
      </c>
      <c r="H65" s="21" t="s">
        <v>879</v>
      </c>
      <c r="I65" s="21" t="s">
        <v>881</v>
      </c>
      <c r="J65" s="21" t="s">
        <v>882</v>
      </c>
      <c r="K65" s="4"/>
    </row>
    <row r="66" ht="15.75" customHeight="1">
      <c r="A66" s="21" t="s">
        <v>884</v>
      </c>
      <c r="B66" s="21" t="s">
        <v>856</v>
      </c>
      <c r="C66" s="21" t="s">
        <v>789</v>
      </c>
      <c r="D66" s="21" t="s">
        <v>886</v>
      </c>
      <c r="E66" s="21" t="s">
        <v>860</v>
      </c>
      <c r="F66" s="21" t="s">
        <v>71</v>
      </c>
      <c r="G66" s="24" t="s">
        <v>137</v>
      </c>
      <c r="H66" s="21" t="s">
        <v>137</v>
      </c>
      <c r="I66" s="21" t="s">
        <v>891</v>
      </c>
      <c r="J66" s="21" t="s">
        <v>892</v>
      </c>
      <c r="K66" s="4"/>
    </row>
    <row r="67" ht="15.75" customHeight="1">
      <c r="A67" s="21" t="s">
        <v>896</v>
      </c>
      <c r="B67" s="21" t="s">
        <v>856</v>
      </c>
      <c r="C67" s="21" t="s">
        <v>789</v>
      </c>
      <c r="D67" s="21" t="s">
        <v>898</v>
      </c>
      <c r="E67" s="21" t="s">
        <v>899</v>
      </c>
      <c r="F67" s="21" t="s">
        <v>345</v>
      </c>
      <c r="G67" s="24" t="s">
        <v>137</v>
      </c>
      <c r="H67" s="21" t="s">
        <v>137</v>
      </c>
      <c r="I67" s="21" t="s">
        <v>900</v>
      </c>
      <c r="J67" s="21" t="s">
        <v>901</v>
      </c>
      <c r="K67" s="4"/>
    </row>
    <row r="68" ht="15.75" customHeight="1">
      <c r="A68" s="4"/>
      <c r="B68" s="4"/>
      <c r="C68" s="4"/>
      <c r="D68" s="4"/>
      <c r="E68" s="4"/>
      <c r="F68" s="4"/>
      <c r="G68" s="4"/>
      <c r="H68" s="4"/>
      <c r="I68" s="4"/>
      <c r="J68" s="4"/>
      <c r="K68" s="4"/>
    </row>
    <row r="69" ht="15.75" customHeight="1">
      <c r="A69" s="4"/>
      <c r="B69" s="4"/>
      <c r="C69" s="4"/>
      <c r="D69" s="4"/>
      <c r="E69" s="4"/>
      <c r="F69" s="4"/>
      <c r="G69" s="4"/>
      <c r="H69" s="4"/>
      <c r="I69" s="4"/>
      <c r="J69" s="4"/>
      <c r="K69" s="4"/>
    </row>
    <row r="70" ht="15.75" customHeight="1">
      <c r="A70" s="4"/>
      <c r="B70" s="4"/>
      <c r="C70" s="4"/>
      <c r="D70" s="4"/>
      <c r="E70" s="4"/>
      <c r="F70" s="4"/>
      <c r="G70" s="4"/>
      <c r="H70" s="4"/>
      <c r="I70" s="4"/>
      <c r="J70" s="4"/>
      <c r="K70" s="4"/>
    </row>
    <row r="71" ht="15.75" customHeight="1">
      <c r="A71" s="4"/>
      <c r="B71" s="4"/>
      <c r="C71" s="4"/>
      <c r="D71" s="4"/>
      <c r="E71" s="4"/>
      <c r="F71" s="4"/>
      <c r="G71" s="4"/>
      <c r="H71" s="4"/>
      <c r="I71" s="4"/>
      <c r="J71" s="4"/>
      <c r="K71" s="4"/>
    </row>
    <row r="72" ht="15.75" customHeight="1">
      <c r="A72" s="4"/>
      <c r="B72" s="4"/>
      <c r="C72" s="4"/>
      <c r="D72" s="4"/>
      <c r="E72" s="4"/>
      <c r="F72" s="4"/>
      <c r="G72" s="4"/>
      <c r="H72" s="4"/>
      <c r="I72" s="4"/>
      <c r="J72" s="4"/>
      <c r="K72" s="4"/>
    </row>
    <row r="73" ht="15.75" customHeight="1">
      <c r="A73" s="4"/>
      <c r="B73" s="4"/>
      <c r="C73" s="4"/>
      <c r="D73" s="4"/>
      <c r="E73" s="4"/>
      <c r="F73" s="4"/>
      <c r="G73" s="4"/>
      <c r="H73" s="4"/>
      <c r="I73" s="4"/>
      <c r="J73" s="4"/>
      <c r="K73" s="4"/>
    </row>
    <row r="74" ht="15.75" customHeight="1">
      <c r="A74" s="4"/>
      <c r="B74" s="4"/>
      <c r="C74" s="4"/>
      <c r="D74" s="4"/>
      <c r="E74" s="4"/>
      <c r="F74" s="4"/>
      <c r="G74" s="4"/>
      <c r="H74" s="4"/>
      <c r="I74" s="4"/>
      <c r="J74" s="4"/>
      <c r="K74" s="4"/>
    </row>
    <row r="75" ht="15.75" customHeight="1">
      <c r="A75" s="4"/>
      <c r="B75" s="4"/>
      <c r="C75" s="4"/>
      <c r="D75" s="4"/>
      <c r="E75" s="4"/>
      <c r="F75" s="4"/>
      <c r="G75" s="4"/>
      <c r="H75" s="4"/>
      <c r="I75" s="4"/>
      <c r="J75" s="4"/>
      <c r="K75" s="4"/>
    </row>
    <row r="76" ht="15.75" customHeight="1">
      <c r="A76" s="4"/>
      <c r="B76" s="4"/>
      <c r="C76" s="4"/>
      <c r="D76" s="4"/>
      <c r="E76" s="4"/>
      <c r="F76" s="4"/>
      <c r="G76" s="4"/>
      <c r="H76" s="4"/>
      <c r="I76" s="4"/>
      <c r="J76" s="4"/>
      <c r="K76" s="4"/>
    </row>
    <row r="77" ht="15.75" customHeight="1">
      <c r="A77" s="4"/>
      <c r="B77" s="4"/>
      <c r="C77" s="4"/>
      <c r="D77" s="4"/>
      <c r="E77" s="4"/>
      <c r="F77" s="4"/>
      <c r="G77" s="4"/>
      <c r="H77" s="4"/>
      <c r="I77" s="4"/>
      <c r="J77" s="4"/>
      <c r="K77" s="4"/>
    </row>
    <row r="78" ht="15.75" customHeight="1">
      <c r="A78" s="4"/>
      <c r="B78" s="4"/>
      <c r="C78" s="4"/>
      <c r="D78" s="4"/>
      <c r="E78" s="4"/>
      <c r="F78" s="4"/>
      <c r="G78" s="4"/>
      <c r="H78" s="4"/>
      <c r="I78" s="4"/>
      <c r="J78" s="4"/>
      <c r="K78" s="4"/>
    </row>
    <row r="79" ht="15.75" customHeight="1">
      <c r="A79" s="4"/>
      <c r="B79" s="4"/>
      <c r="C79" s="4"/>
      <c r="D79" s="4"/>
      <c r="E79" s="4"/>
      <c r="F79" s="4"/>
      <c r="G79" s="4"/>
      <c r="H79" s="4"/>
      <c r="I79" s="4"/>
      <c r="J79" s="4"/>
      <c r="K79" s="4"/>
    </row>
    <row r="80" ht="15.75" customHeight="1">
      <c r="A80" s="4"/>
      <c r="B80" s="4"/>
      <c r="C80" s="4"/>
      <c r="D80" s="4"/>
      <c r="E80" s="4"/>
      <c r="F80" s="4"/>
      <c r="G80" s="4"/>
      <c r="H80" s="4"/>
      <c r="I80" s="4"/>
      <c r="J80" s="4"/>
      <c r="K80" s="4"/>
    </row>
    <row r="81" ht="15.75" customHeight="1">
      <c r="A81" s="4"/>
      <c r="B81" s="4"/>
      <c r="C81" s="4"/>
      <c r="D81" s="4"/>
      <c r="E81" s="4"/>
      <c r="F81" s="4"/>
      <c r="G81" s="4"/>
      <c r="H81" s="4"/>
      <c r="I81" s="4"/>
      <c r="J81" s="4"/>
      <c r="K81" s="4"/>
    </row>
    <row r="82" ht="15.75" customHeight="1">
      <c r="A82" s="4"/>
      <c r="B82" s="4"/>
      <c r="C82" s="4"/>
      <c r="D82" s="4"/>
      <c r="E82" s="4"/>
      <c r="F82" s="4"/>
      <c r="G82" s="4"/>
      <c r="H82" s="4"/>
      <c r="I82" s="4"/>
      <c r="J82" s="4"/>
      <c r="K82" s="4"/>
    </row>
    <row r="83" ht="15.75" customHeight="1">
      <c r="A83" s="4"/>
      <c r="B83" s="4"/>
      <c r="C83" s="4"/>
      <c r="D83" s="4"/>
      <c r="E83" s="4"/>
      <c r="F83" s="4"/>
      <c r="G83" s="4"/>
      <c r="H83" s="4"/>
      <c r="I83" s="4"/>
      <c r="J83" s="4"/>
      <c r="K83" s="4"/>
    </row>
    <row r="84" ht="15.75" customHeight="1">
      <c r="A84" s="4"/>
      <c r="B84" s="4"/>
      <c r="C84" s="4"/>
      <c r="D84" s="4"/>
      <c r="E84" s="4"/>
      <c r="F84" s="4"/>
      <c r="G84" s="4"/>
      <c r="H84" s="4"/>
      <c r="I84" s="4"/>
      <c r="J84" s="4"/>
      <c r="K84" s="4"/>
    </row>
    <row r="85" ht="15.75" customHeight="1">
      <c r="A85" s="4"/>
      <c r="B85" s="4"/>
      <c r="C85" s="4"/>
      <c r="D85" s="4"/>
      <c r="E85" s="4"/>
      <c r="F85" s="4"/>
      <c r="G85" s="4"/>
      <c r="H85" s="4"/>
      <c r="I85" s="4"/>
      <c r="J85" s="4"/>
      <c r="K85" s="4"/>
    </row>
    <row r="86" ht="15.75" customHeight="1">
      <c r="A86" s="4"/>
      <c r="B86" s="4"/>
      <c r="C86" s="4"/>
      <c r="D86" s="4"/>
      <c r="E86" s="4"/>
      <c r="F86" s="4"/>
      <c r="G86" s="4"/>
      <c r="H86" s="4"/>
      <c r="I86" s="4"/>
      <c r="J86" s="4"/>
      <c r="K86" s="4"/>
    </row>
    <row r="87" ht="15.75" customHeight="1">
      <c r="A87" s="4"/>
      <c r="B87" s="4"/>
      <c r="C87" s="4"/>
      <c r="D87" s="4"/>
      <c r="E87" s="4"/>
      <c r="F87" s="4"/>
      <c r="G87" s="4"/>
      <c r="H87" s="4"/>
      <c r="I87" s="4"/>
      <c r="J87" s="4"/>
      <c r="K87" s="4"/>
    </row>
    <row r="88" ht="15.75" customHeight="1">
      <c r="A88" s="4"/>
      <c r="B88" s="4"/>
      <c r="C88" s="4"/>
      <c r="D88" s="4"/>
      <c r="E88" s="4"/>
      <c r="F88" s="4"/>
      <c r="G88" s="4"/>
      <c r="H88" s="4"/>
      <c r="I88" s="4"/>
      <c r="J88" s="4"/>
      <c r="K88" s="4"/>
    </row>
    <row r="89" ht="15.75" customHeight="1">
      <c r="A89" s="4"/>
      <c r="B89" s="4"/>
      <c r="C89" s="4"/>
      <c r="D89" s="4"/>
      <c r="E89" s="4"/>
      <c r="F89" s="4"/>
      <c r="G89" s="4"/>
      <c r="H89" s="4"/>
      <c r="I89" s="4"/>
      <c r="J89" s="4"/>
      <c r="K89" s="4"/>
    </row>
    <row r="90" ht="15.75" customHeight="1">
      <c r="A90" s="4"/>
      <c r="B90" s="4"/>
      <c r="C90" s="4"/>
      <c r="D90" s="4"/>
      <c r="E90" s="4"/>
      <c r="F90" s="4"/>
      <c r="G90" s="4"/>
      <c r="H90" s="4"/>
      <c r="I90" s="4"/>
      <c r="J90" s="4"/>
      <c r="K90" s="4"/>
    </row>
    <row r="91" ht="15.75" customHeight="1">
      <c r="A91" s="4"/>
      <c r="B91" s="4"/>
      <c r="C91" s="4"/>
      <c r="D91" s="4"/>
      <c r="E91" s="4"/>
      <c r="F91" s="4"/>
      <c r="G91" s="4"/>
      <c r="H91" s="4"/>
      <c r="I91" s="4"/>
      <c r="J91" s="4"/>
      <c r="K91" s="4"/>
    </row>
    <row r="92" ht="15.75" customHeight="1">
      <c r="A92" s="4"/>
      <c r="B92" s="4"/>
      <c r="C92" s="4"/>
      <c r="D92" s="4"/>
      <c r="E92" s="4"/>
      <c r="F92" s="4"/>
      <c r="G92" s="4"/>
      <c r="H92" s="4"/>
      <c r="I92" s="4"/>
      <c r="J92" s="4"/>
      <c r="K92" s="4"/>
    </row>
    <row r="93" ht="15.75" customHeight="1">
      <c r="A93" s="4"/>
      <c r="B93" s="4"/>
      <c r="C93" s="4"/>
      <c r="D93" s="4"/>
      <c r="E93" s="4"/>
      <c r="F93" s="4"/>
      <c r="G93" s="4"/>
      <c r="H93" s="4"/>
      <c r="I93" s="4"/>
      <c r="J93" s="4"/>
      <c r="K93" s="4"/>
    </row>
    <row r="94" ht="15.75" customHeight="1">
      <c r="A94" s="4"/>
      <c r="B94" s="4"/>
      <c r="C94" s="4"/>
      <c r="D94" s="4"/>
      <c r="E94" s="4"/>
      <c r="F94" s="4"/>
      <c r="G94" s="4"/>
      <c r="H94" s="4"/>
      <c r="I94" s="4"/>
      <c r="J94" s="4"/>
      <c r="K94" s="4"/>
    </row>
    <row r="95" ht="15.75" customHeight="1">
      <c r="A95" s="4"/>
      <c r="B95" s="4"/>
      <c r="C95" s="4"/>
      <c r="D95" s="4"/>
      <c r="E95" s="4"/>
      <c r="F95" s="4"/>
      <c r="G95" s="4"/>
      <c r="H95" s="4"/>
      <c r="I95" s="4"/>
      <c r="J95" s="4"/>
      <c r="K95" s="4"/>
    </row>
    <row r="96" ht="15.75" customHeight="1">
      <c r="A96" s="4"/>
      <c r="B96" s="4"/>
      <c r="C96" s="4"/>
      <c r="D96" s="4"/>
      <c r="E96" s="4"/>
      <c r="F96" s="4"/>
      <c r="G96" s="4"/>
      <c r="H96" s="4"/>
      <c r="I96" s="4"/>
      <c r="J96" s="4"/>
      <c r="K96" s="4"/>
    </row>
    <row r="97" ht="15.75" customHeight="1">
      <c r="A97" s="4"/>
      <c r="B97" s="4"/>
      <c r="C97" s="4"/>
      <c r="D97" s="4"/>
      <c r="E97" s="4"/>
      <c r="F97" s="4"/>
      <c r="G97" s="4"/>
      <c r="H97" s="4"/>
      <c r="I97" s="4"/>
      <c r="J97" s="4"/>
      <c r="K97" s="4"/>
    </row>
    <row r="98" ht="15.75" customHeight="1">
      <c r="A98" s="4"/>
      <c r="B98" s="4"/>
      <c r="C98" s="4"/>
      <c r="D98" s="4"/>
      <c r="E98" s="4"/>
      <c r="F98" s="4"/>
      <c r="G98" s="4"/>
      <c r="H98" s="4"/>
      <c r="I98" s="4"/>
      <c r="J98" s="4"/>
      <c r="K98" s="4"/>
    </row>
    <row r="99" ht="15.75" customHeight="1">
      <c r="A99" s="4"/>
      <c r="B99" s="4"/>
      <c r="C99" s="4"/>
      <c r="D99" s="4"/>
      <c r="E99" s="4"/>
      <c r="F99" s="4"/>
      <c r="G99" s="4"/>
      <c r="H99" s="4"/>
      <c r="I99" s="4"/>
      <c r="J99" s="4"/>
      <c r="K99" s="4"/>
    </row>
    <row r="100" ht="15.75" customHeight="1">
      <c r="A100" s="4"/>
      <c r="B100" s="4"/>
      <c r="C100" s="4"/>
      <c r="D100" s="4"/>
      <c r="E100" s="4"/>
      <c r="F100" s="4"/>
      <c r="G100" s="4"/>
      <c r="H100" s="4"/>
      <c r="I100" s="4"/>
      <c r="J100" s="4"/>
      <c r="K100" s="4"/>
    </row>
    <row r="101" ht="15.75" customHeight="1">
      <c r="A101" s="4"/>
      <c r="B101" s="4"/>
      <c r="C101" s="4"/>
      <c r="D101" s="4"/>
      <c r="E101" s="4"/>
      <c r="F101" s="4"/>
      <c r="G101" s="4"/>
      <c r="H101" s="4"/>
      <c r="I101" s="4"/>
      <c r="J101" s="4"/>
      <c r="K101" s="4"/>
    </row>
    <row r="102" ht="15.75" customHeight="1">
      <c r="A102" s="4"/>
      <c r="B102" s="4"/>
      <c r="C102" s="4"/>
      <c r="D102" s="4"/>
      <c r="E102" s="4"/>
      <c r="F102" s="4"/>
      <c r="G102" s="4"/>
      <c r="H102" s="4"/>
      <c r="I102" s="4"/>
      <c r="J102" s="4"/>
      <c r="K102" s="4"/>
    </row>
    <row r="103" ht="15.75" customHeight="1">
      <c r="A103" s="4"/>
      <c r="B103" s="4"/>
      <c r="C103" s="4"/>
      <c r="D103" s="4"/>
      <c r="E103" s="4"/>
      <c r="F103" s="4"/>
      <c r="G103" s="4"/>
      <c r="H103" s="4"/>
      <c r="I103" s="4"/>
      <c r="J103" s="4"/>
      <c r="K103" s="4"/>
    </row>
    <row r="104" ht="15.75" customHeight="1">
      <c r="A104" s="4"/>
      <c r="B104" s="4"/>
      <c r="C104" s="4"/>
      <c r="D104" s="4"/>
      <c r="E104" s="4"/>
      <c r="F104" s="4"/>
      <c r="G104" s="4"/>
      <c r="H104" s="4"/>
      <c r="I104" s="4"/>
      <c r="J104" s="4"/>
      <c r="K104" s="4"/>
    </row>
    <row r="105" ht="15.75" customHeight="1">
      <c r="A105" s="4"/>
      <c r="B105" s="4"/>
      <c r="C105" s="4"/>
      <c r="D105" s="4"/>
      <c r="E105" s="4"/>
      <c r="F105" s="4"/>
      <c r="G105" s="4"/>
      <c r="H105" s="4"/>
      <c r="I105" s="4"/>
      <c r="J105" s="4"/>
      <c r="K105" s="4"/>
    </row>
    <row r="106" ht="15.75" customHeight="1">
      <c r="A106" s="4"/>
      <c r="B106" s="4"/>
      <c r="C106" s="4"/>
      <c r="D106" s="4"/>
      <c r="E106" s="4"/>
      <c r="F106" s="4"/>
      <c r="G106" s="4"/>
      <c r="H106" s="4"/>
      <c r="I106" s="4"/>
      <c r="J106" s="4"/>
      <c r="K106" s="4"/>
    </row>
    <row r="107" ht="15.75" customHeight="1">
      <c r="A107" s="4"/>
      <c r="B107" s="4"/>
      <c r="C107" s="4"/>
      <c r="D107" s="4"/>
      <c r="E107" s="4"/>
      <c r="F107" s="4"/>
      <c r="G107" s="4"/>
      <c r="H107" s="4"/>
      <c r="I107" s="4"/>
      <c r="J107" s="4"/>
      <c r="K107" s="4"/>
    </row>
    <row r="108" ht="15.75" customHeight="1">
      <c r="A108" s="4"/>
      <c r="B108" s="4"/>
      <c r="C108" s="4"/>
      <c r="D108" s="4"/>
      <c r="E108" s="4"/>
      <c r="F108" s="4"/>
      <c r="G108" s="4"/>
      <c r="H108" s="4"/>
      <c r="I108" s="4"/>
      <c r="J108" s="4"/>
      <c r="K108" s="4"/>
    </row>
    <row r="109" ht="15.75" customHeight="1">
      <c r="A109" s="4"/>
      <c r="B109" s="4"/>
      <c r="C109" s="4"/>
      <c r="D109" s="4"/>
      <c r="E109" s="4"/>
      <c r="F109" s="4"/>
      <c r="G109" s="4"/>
      <c r="H109" s="4"/>
      <c r="I109" s="4"/>
      <c r="J109" s="4"/>
      <c r="K109" s="4"/>
    </row>
    <row r="110" ht="15.75" customHeight="1">
      <c r="A110" s="4"/>
      <c r="B110" s="4"/>
      <c r="C110" s="4"/>
      <c r="D110" s="4"/>
      <c r="E110" s="4"/>
      <c r="F110" s="4"/>
      <c r="G110" s="4"/>
      <c r="H110" s="4"/>
      <c r="I110" s="4"/>
      <c r="J110" s="4"/>
      <c r="K110" s="4"/>
    </row>
    <row r="111" ht="15.75" customHeight="1">
      <c r="A111" s="4"/>
      <c r="B111" s="4"/>
      <c r="C111" s="4"/>
      <c r="D111" s="4"/>
      <c r="E111" s="4"/>
      <c r="F111" s="4"/>
      <c r="G111" s="4"/>
      <c r="H111" s="4"/>
      <c r="I111" s="4"/>
      <c r="J111" s="4"/>
      <c r="K111" s="4"/>
    </row>
    <row r="112" ht="15.75" customHeight="1">
      <c r="A112" s="4"/>
      <c r="B112" s="4"/>
      <c r="C112" s="4"/>
      <c r="D112" s="4"/>
      <c r="E112" s="4"/>
      <c r="F112" s="4"/>
      <c r="G112" s="4"/>
      <c r="H112" s="4"/>
      <c r="I112" s="4"/>
      <c r="J112" s="4"/>
      <c r="K112" s="4"/>
    </row>
    <row r="113" ht="15.75" customHeight="1">
      <c r="A113" s="4"/>
      <c r="B113" s="4"/>
      <c r="C113" s="4"/>
      <c r="D113" s="4"/>
      <c r="E113" s="4"/>
      <c r="F113" s="4"/>
      <c r="G113" s="4"/>
      <c r="H113" s="4"/>
      <c r="I113" s="4"/>
      <c r="J113" s="4"/>
      <c r="K113" s="4"/>
    </row>
    <row r="114" ht="15.75" customHeight="1">
      <c r="A114" s="4"/>
      <c r="B114" s="4"/>
      <c r="C114" s="4"/>
      <c r="D114" s="4"/>
      <c r="E114" s="4"/>
      <c r="F114" s="4"/>
      <c r="G114" s="4"/>
      <c r="H114" s="4"/>
      <c r="I114" s="4"/>
      <c r="J114" s="4"/>
      <c r="K114" s="4"/>
    </row>
    <row r="115" ht="15.75" customHeight="1">
      <c r="A115" s="4"/>
      <c r="B115" s="4"/>
      <c r="C115" s="4"/>
      <c r="D115" s="4"/>
      <c r="E115" s="4"/>
      <c r="F115" s="4"/>
      <c r="G115" s="4"/>
      <c r="H115" s="4"/>
      <c r="I115" s="4"/>
      <c r="J115" s="4"/>
      <c r="K115" s="4"/>
    </row>
    <row r="116" ht="15.75" customHeight="1">
      <c r="A116" s="4"/>
      <c r="B116" s="4"/>
      <c r="C116" s="4"/>
      <c r="D116" s="4"/>
      <c r="E116" s="4"/>
      <c r="F116" s="4"/>
      <c r="G116" s="4"/>
      <c r="H116" s="4"/>
      <c r="I116" s="4"/>
      <c r="J116" s="4"/>
      <c r="K116" s="4"/>
    </row>
    <row r="117" ht="15.75" customHeight="1">
      <c r="A117" s="4"/>
      <c r="B117" s="4"/>
      <c r="C117" s="4"/>
      <c r="D117" s="4"/>
      <c r="E117" s="4"/>
      <c r="F117" s="4"/>
      <c r="G117" s="4"/>
      <c r="H117" s="4"/>
      <c r="I117" s="4"/>
      <c r="J117" s="4"/>
      <c r="K117" s="4"/>
    </row>
    <row r="118" ht="15.75" customHeight="1">
      <c r="A118" s="4"/>
      <c r="B118" s="4"/>
      <c r="C118" s="4"/>
      <c r="D118" s="4"/>
      <c r="E118" s="4"/>
      <c r="F118" s="4"/>
      <c r="G118" s="4"/>
      <c r="H118" s="4"/>
      <c r="I118" s="4"/>
      <c r="J118" s="4"/>
      <c r="K118" s="4"/>
    </row>
    <row r="119" ht="15.75" customHeight="1">
      <c r="A119" s="4"/>
      <c r="B119" s="4"/>
      <c r="C119" s="4"/>
      <c r="D119" s="4"/>
      <c r="E119" s="4"/>
      <c r="F119" s="4"/>
      <c r="G119" s="4"/>
      <c r="H119" s="4"/>
      <c r="I119" s="4"/>
      <c r="J119" s="4"/>
      <c r="K119" s="4"/>
    </row>
    <row r="120" ht="15.75" customHeight="1">
      <c r="A120" s="4"/>
      <c r="B120" s="4"/>
      <c r="C120" s="4"/>
      <c r="D120" s="4"/>
      <c r="E120" s="4"/>
      <c r="F120" s="4"/>
      <c r="G120" s="4"/>
      <c r="H120" s="4"/>
      <c r="I120" s="4"/>
      <c r="J120" s="4"/>
      <c r="K120" s="4"/>
    </row>
    <row r="121" ht="15.75" customHeight="1">
      <c r="A121" s="4"/>
      <c r="B121" s="4"/>
      <c r="C121" s="4"/>
      <c r="D121" s="4"/>
      <c r="E121" s="4"/>
      <c r="F121" s="4"/>
      <c r="G121" s="4"/>
      <c r="H121" s="4"/>
      <c r="I121" s="4"/>
      <c r="J121" s="4"/>
      <c r="K121" s="4"/>
    </row>
    <row r="122" ht="15.75" customHeight="1">
      <c r="A122" s="4"/>
      <c r="B122" s="4"/>
      <c r="C122" s="4"/>
      <c r="D122" s="4"/>
      <c r="E122" s="4"/>
      <c r="F122" s="4"/>
      <c r="G122" s="4"/>
      <c r="H122" s="4"/>
      <c r="I122" s="4"/>
      <c r="J122" s="4"/>
      <c r="K122" s="4"/>
    </row>
    <row r="123" ht="15.75" customHeight="1">
      <c r="A123" s="4"/>
      <c r="B123" s="4"/>
      <c r="C123" s="4"/>
      <c r="D123" s="4"/>
      <c r="E123" s="4"/>
      <c r="F123" s="4"/>
      <c r="G123" s="4"/>
      <c r="H123" s="4"/>
      <c r="I123" s="4"/>
      <c r="J123" s="4"/>
      <c r="K123" s="4"/>
    </row>
    <row r="124" ht="15.75" customHeight="1">
      <c r="A124" s="4"/>
      <c r="B124" s="4"/>
      <c r="C124" s="4"/>
      <c r="D124" s="4"/>
      <c r="E124" s="4"/>
      <c r="F124" s="4"/>
      <c r="G124" s="4"/>
      <c r="H124" s="4"/>
      <c r="I124" s="4"/>
      <c r="J124" s="4"/>
      <c r="K124" s="4"/>
    </row>
    <row r="125" ht="15.75" customHeight="1">
      <c r="A125" s="4"/>
      <c r="B125" s="4"/>
      <c r="C125" s="4"/>
      <c r="D125" s="4"/>
      <c r="E125" s="4"/>
      <c r="F125" s="4"/>
      <c r="G125" s="4"/>
      <c r="H125" s="4"/>
      <c r="I125" s="4"/>
      <c r="J125" s="4"/>
      <c r="K125" s="4"/>
    </row>
    <row r="126" ht="15.75" customHeight="1">
      <c r="A126" s="4"/>
      <c r="B126" s="4"/>
      <c r="C126" s="4"/>
      <c r="D126" s="4"/>
      <c r="E126" s="4"/>
      <c r="F126" s="4"/>
      <c r="G126" s="4"/>
      <c r="H126" s="4"/>
      <c r="I126" s="4"/>
      <c r="J126" s="4"/>
      <c r="K126" s="4"/>
    </row>
    <row r="127" ht="15.75" customHeight="1">
      <c r="A127" s="4"/>
      <c r="B127" s="4"/>
      <c r="C127" s="4"/>
      <c r="D127" s="4"/>
      <c r="E127" s="4"/>
      <c r="F127" s="4"/>
      <c r="G127" s="4"/>
      <c r="H127" s="4"/>
      <c r="I127" s="4"/>
      <c r="J127" s="4"/>
      <c r="K127" s="4"/>
    </row>
    <row r="128" ht="15.75" customHeight="1">
      <c r="A128" s="4"/>
      <c r="B128" s="4"/>
      <c r="C128" s="4"/>
      <c r="D128" s="4"/>
      <c r="E128" s="4"/>
      <c r="F128" s="4"/>
      <c r="G128" s="4"/>
      <c r="H128" s="4"/>
      <c r="I128" s="4"/>
      <c r="J128" s="4"/>
      <c r="K128" s="4"/>
    </row>
    <row r="129" ht="15.75" customHeight="1">
      <c r="A129" s="4"/>
      <c r="B129" s="4"/>
      <c r="C129" s="4"/>
      <c r="D129" s="4"/>
      <c r="E129" s="4"/>
      <c r="F129" s="4"/>
      <c r="G129" s="4"/>
      <c r="H129" s="4"/>
      <c r="I129" s="4"/>
      <c r="J129" s="4"/>
      <c r="K129" s="4"/>
    </row>
    <row r="130" ht="15.75" customHeight="1">
      <c r="A130" s="4"/>
      <c r="B130" s="4"/>
      <c r="C130" s="4"/>
      <c r="D130" s="4"/>
      <c r="E130" s="4"/>
      <c r="F130" s="4"/>
      <c r="G130" s="4"/>
      <c r="H130" s="4"/>
      <c r="I130" s="4"/>
      <c r="J130" s="4"/>
      <c r="K130" s="4"/>
    </row>
    <row r="131" ht="15.75" customHeight="1">
      <c r="A131" s="4"/>
      <c r="B131" s="4"/>
      <c r="C131" s="4"/>
      <c r="D131" s="4"/>
      <c r="E131" s="4"/>
      <c r="F131" s="4"/>
      <c r="G131" s="4"/>
      <c r="H131" s="4"/>
      <c r="I131" s="4"/>
      <c r="J131" s="4"/>
      <c r="K131" s="4"/>
    </row>
    <row r="132" ht="15.75" customHeight="1">
      <c r="A132" s="4"/>
      <c r="B132" s="4"/>
      <c r="C132" s="4"/>
      <c r="D132" s="4"/>
      <c r="E132" s="4"/>
      <c r="F132" s="4"/>
      <c r="G132" s="4"/>
      <c r="H132" s="4"/>
      <c r="I132" s="4"/>
      <c r="J132" s="4"/>
      <c r="K132" s="4"/>
    </row>
    <row r="133" ht="15.75" customHeight="1">
      <c r="A133" s="4"/>
      <c r="B133" s="4"/>
      <c r="C133" s="4"/>
      <c r="D133" s="4"/>
      <c r="E133" s="4"/>
      <c r="F133" s="4"/>
      <c r="G133" s="4"/>
      <c r="H133" s="4"/>
      <c r="I133" s="4"/>
      <c r="J133" s="4"/>
      <c r="K133" s="4"/>
    </row>
    <row r="134" ht="15.75" customHeight="1">
      <c r="A134" s="4"/>
      <c r="B134" s="4"/>
      <c r="C134" s="4"/>
      <c r="D134" s="4"/>
      <c r="E134" s="4"/>
      <c r="F134" s="4"/>
      <c r="G134" s="4"/>
      <c r="H134" s="4"/>
      <c r="I134" s="4"/>
      <c r="J134" s="4"/>
      <c r="K134" s="4"/>
    </row>
    <row r="135" ht="15.75" customHeight="1">
      <c r="A135" s="4"/>
      <c r="B135" s="4"/>
      <c r="C135" s="4"/>
      <c r="D135" s="4"/>
      <c r="E135" s="4"/>
      <c r="F135" s="4"/>
      <c r="G135" s="4"/>
      <c r="H135" s="4"/>
      <c r="I135" s="4"/>
      <c r="J135" s="4"/>
      <c r="K135" s="4"/>
    </row>
    <row r="136" ht="15.75" customHeight="1">
      <c r="A136" s="4"/>
      <c r="B136" s="4"/>
      <c r="C136" s="4"/>
      <c r="D136" s="4"/>
      <c r="E136" s="4"/>
      <c r="F136" s="4"/>
      <c r="G136" s="4"/>
      <c r="H136" s="4"/>
      <c r="I136" s="4"/>
      <c r="J136" s="4"/>
      <c r="K136" s="4"/>
    </row>
    <row r="137" ht="15.75" customHeight="1">
      <c r="A137" s="4"/>
      <c r="B137" s="4"/>
      <c r="C137" s="4"/>
      <c r="D137" s="4"/>
      <c r="E137" s="4"/>
      <c r="F137" s="4"/>
      <c r="G137" s="4"/>
      <c r="H137" s="4"/>
      <c r="I137" s="4"/>
      <c r="J137" s="4"/>
      <c r="K137" s="4"/>
    </row>
    <row r="138" ht="15.75" customHeight="1">
      <c r="A138" s="4"/>
      <c r="B138" s="4"/>
      <c r="C138" s="4"/>
      <c r="D138" s="4"/>
      <c r="E138" s="4"/>
      <c r="F138" s="4"/>
      <c r="G138" s="4"/>
      <c r="H138" s="4"/>
      <c r="I138" s="4"/>
      <c r="J138" s="4"/>
      <c r="K138" s="4"/>
    </row>
    <row r="139" ht="15.75" customHeight="1">
      <c r="A139" s="4"/>
      <c r="B139" s="4"/>
      <c r="C139" s="4"/>
      <c r="D139" s="4"/>
      <c r="E139" s="4"/>
      <c r="F139" s="4"/>
      <c r="G139" s="4"/>
      <c r="H139" s="4"/>
      <c r="I139" s="4"/>
      <c r="J139" s="4"/>
      <c r="K139" s="4"/>
    </row>
    <row r="140" ht="15.75" customHeight="1">
      <c r="A140" s="4"/>
      <c r="B140" s="4"/>
      <c r="C140" s="4"/>
      <c r="D140" s="4"/>
      <c r="E140" s="4"/>
      <c r="F140" s="4"/>
      <c r="G140" s="4"/>
      <c r="H140" s="4"/>
      <c r="I140" s="4"/>
      <c r="J140" s="4"/>
      <c r="K140" s="4"/>
    </row>
    <row r="141" ht="15.75" customHeight="1">
      <c r="A141" s="4"/>
      <c r="B141" s="4"/>
      <c r="C141" s="4"/>
      <c r="D141" s="4"/>
      <c r="E141" s="4"/>
      <c r="F141" s="4"/>
      <c r="G141" s="4"/>
      <c r="H141" s="4"/>
      <c r="I141" s="4"/>
      <c r="J141" s="4"/>
      <c r="K141" s="4"/>
    </row>
    <row r="142" ht="15.75" customHeight="1">
      <c r="A142" s="4"/>
      <c r="B142" s="4"/>
      <c r="C142" s="4"/>
      <c r="D142" s="4"/>
      <c r="E142" s="4"/>
      <c r="F142" s="4"/>
      <c r="G142" s="4"/>
      <c r="H142" s="4"/>
      <c r="I142" s="4"/>
      <c r="J142" s="4"/>
      <c r="K142" s="4"/>
    </row>
    <row r="143" ht="15.75" customHeight="1">
      <c r="A143" s="4"/>
      <c r="B143" s="4"/>
      <c r="C143" s="4"/>
      <c r="D143" s="4"/>
      <c r="E143" s="4"/>
      <c r="F143" s="4"/>
      <c r="G143" s="4"/>
      <c r="H143" s="4"/>
      <c r="I143" s="4"/>
      <c r="J143" s="4"/>
      <c r="K143" s="4"/>
    </row>
    <row r="144" ht="15.75" customHeight="1">
      <c r="A144" s="4"/>
      <c r="B144" s="4"/>
      <c r="C144" s="4"/>
      <c r="D144" s="4"/>
      <c r="E144" s="4"/>
      <c r="F144" s="4"/>
      <c r="G144" s="4"/>
      <c r="H144" s="4"/>
      <c r="I144" s="4"/>
      <c r="J144" s="4"/>
      <c r="K144" s="4"/>
    </row>
    <row r="145" ht="15.75" customHeight="1">
      <c r="A145" s="4"/>
      <c r="B145" s="4"/>
      <c r="C145" s="4"/>
      <c r="D145" s="4"/>
      <c r="E145" s="4"/>
      <c r="F145" s="4"/>
      <c r="G145" s="4"/>
      <c r="H145" s="4"/>
      <c r="I145" s="4"/>
      <c r="J145" s="4"/>
      <c r="K145" s="4"/>
    </row>
    <row r="146" ht="15.75" customHeight="1">
      <c r="A146" s="4"/>
      <c r="B146" s="4"/>
      <c r="C146" s="4"/>
      <c r="D146" s="4"/>
      <c r="E146" s="4"/>
      <c r="F146" s="4"/>
      <c r="G146" s="4"/>
      <c r="H146" s="4"/>
      <c r="I146" s="4"/>
      <c r="J146" s="4"/>
      <c r="K146" s="4"/>
    </row>
    <row r="147" ht="15.75" customHeight="1">
      <c r="A147" s="4"/>
      <c r="B147" s="4"/>
      <c r="C147" s="4"/>
      <c r="D147" s="4"/>
      <c r="E147" s="4"/>
      <c r="F147" s="4"/>
      <c r="G147" s="4"/>
      <c r="H147" s="4"/>
      <c r="I147" s="4"/>
      <c r="J147" s="4"/>
      <c r="K147" s="4"/>
    </row>
    <row r="148" ht="15.75" customHeight="1">
      <c r="A148" s="4"/>
      <c r="B148" s="4"/>
      <c r="C148" s="4"/>
      <c r="D148" s="4"/>
      <c r="E148" s="4"/>
      <c r="F148" s="4"/>
      <c r="G148" s="4"/>
      <c r="H148" s="4"/>
      <c r="I148" s="4"/>
      <c r="J148" s="4"/>
      <c r="K148" s="4"/>
    </row>
    <row r="149" ht="15.75" customHeight="1">
      <c r="A149" s="4"/>
      <c r="B149" s="4"/>
      <c r="C149" s="4"/>
      <c r="D149" s="4"/>
      <c r="E149" s="4"/>
      <c r="F149" s="4"/>
      <c r="G149" s="4"/>
      <c r="H149" s="4"/>
      <c r="I149" s="4"/>
      <c r="J149" s="4"/>
      <c r="K149" s="4"/>
    </row>
    <row r="150" ht="15.75" customHeight="1">
      <c r="A150" s="4"/>
      <c r="B150" s="4"/>
      <c r="C150" s="4"/>
      <c r="D150" s="4"/>
      <c r="E150" s="4"/>
      <c r="F150" s="4"/>
      <c r="G150" s="4"/>
      <c r="H150" s="4"/>
      <c r="I150" s="4"/>
      <c r="J150" s="4"/>
      <c r="K150" s="4"/>
    </row>
    <row r="151" ht="15.75" customHeight="1">
      <c r="A151" s="4"/>
      <c r="B151" s="4"/>
      <c r="C151" s="4"/>
      <c r="D151" s="4"/>
      <c r="E151" s="4"/>
      <c r="F151" s="4"/>
      <c r="G151" s="4"/>
      <c r="H151" s="4"/>
      <c r="I151" s="4"/>
      <c r="J151" s="4"/>
      <c r="K151" s="4"/>
    </row>
    <row r="152" ht="15.75" customHeight="1">
      <c r="A152" s="4"/>
      <c r="B152" s="4"/>
      <c r="C152" s="4"/>
      <c r="D152" s="4"/>
      <c r="E152" s="4"/>
      <c r="F152" s="4"/>
      <c r="G152" s="4"/>
      <c r="H152" s="4"/>
      <c r="I152" s="4"/>
      <c r="J152" s="4"/>
      <c r="K152" s="4"/>
    </row>
    <row r="153" ht="15.75" customHeight="1">
      <c r="A153" s="4"/>
      <c r="B153" s="4"/>
      <c r="C153" s="4"/>
      <c r="D153" s="4"/>
      <c r="E153" s="4"/>
      <c r="F153" s="4"/>
      <c r="G153" s="4"/>
      <c r="H153" s="4"/>
      <c r="I153" s="4"/>
      <c r="J153" s="4"/>
      <c r="K153" s="4"/>
    </row>
    <row r="154" ht="15.75" customHeight="1">
      <c r="A154" s="4"/>
      <c r="B154" s="4"/>
      <c r="C154" s="4"/>
      <c r="D154" s="4"/>
      <c r="E154" s="4"/>
      <c r="F154" s="4"/>
      <c r="G154" s="4"/>
      <c r="H154" s="4"/>
      <c r="I154" s="4"/>
      <c r="J154" s="4"/>
      <c r="K154" s="4"/>
    </row>
    <row r="155" ht="15.75" customHeight="1">
      <c r="A155" s="4"/>
      <c r="B155" s="4"/>
      <c r="C155" s="4"/>
      <c r="D155" s="4"/>
      <c r="E155" s="4"/>
      <c r="F155" s="4"/>
      <c r="G155" s="4"/>
      <c r="H155" s="4"/>
      <c r="I155" s="4"/>
      <c r="J155" s="4"/>
      <c r="K155" s="4"/>
    </row>
    <row r="156" ht="15.75" customHeight="1">
      <c r="A156" s="4"/>
      <c r="B156" s="4"/>
      <c r="C156" s="4"/>
      <c r="D156" s="4"/>
      <c r="E156" s="4"/>
      <c r="F156" s="4"/>
      <c r="G156" s="4"/>
      <c r="H156" s="4"/>
      <c r="I156" s="4"/>
      <c r="J156" s="4"/>
      <c r="K156" s="4"/>
    </row>
    <row r="157" ht="15.75" customHeight="1">
      <c r="A157" s="4"/>
      <c r="B157" s="4"/>
      <c r="C157" s="4"/>
      <c r="D157" s="4"/>
      <c r="E157" s="4"/>
      <c r="F157" s="4"/>
      <c r="G157" s="4"/>
      <c r="H157" s="4"/>
      <c r="I157" s="4"/>
      <c r="J157" s="4"/>
      <c r="K157" s="4"/>
    </row>
    <row r="158" ht="15.75" customHeight="1">
      <c r="A158" s="4"/>
      <c r="B158" s="4"/>
      <c r="C158" s="4"/>
      <c r="D158" s="4"/>
      <c r="E158" s="4"/>
      <c r="F158" s="4"/>
      <c r="G158" s="4"/>
      <c r="H158" s="4"/>
      <c r="I158" s="4"/>
      <c r="J158" s="4"/>
      <c r="K158" s="4"/>
    </row>
    <row r="159" ht="15.75" customHeight="1">
      <c r="A159" s="4"/>
      <c r="B159" s="4"/>
      <c r="C159" s="4"/>
      <c r="D159" s="4"/>
      <c r="E159" s="4"/>
      <c r="F159" s="4"/>
      <c r="G159" s="4"/>
      <c r="H159" s="4"/>
      <c r="I159" s="4"/>
      <c r="J159" s="4"/>
      <c r="K159" s="4"/>
    </row>
    <row r="160" ht="15.75" customHeight="1">
      <c r="A160" s="4"/>
      <c r="B160" s="4"/>
      <c r="C160" s="4"/>
      <c r="D160" s="4"/>
      <c r="E160" s="4"/>
      <c r="F160" s="4"/>
      <c r="G160" s="4"/>
      <c r="H160" s="4"/>
      <c r="I160" s="4"/>
      <c r="J160" s="4"/>
      <c r="K160" s="4"/>
    </row>
    <row r="161" ht="15.75" customHeight="1">
      <c r="A161" s="4"/>
      <c r="B161" s="4"/>
      <c r="C161" s="4"/>
      <c r="D161" s="4"/>
      <c r="E161" s="4"/>
      <c r="F161" s="4"/>
      <c r="G161" s="4"/>
      <c r="H161" s="4"/>
      <c r="I161" s="4"/>
      <c r="J161" s="4"/>
      <c r="K161" s="4"/>
    </row>
    <row r="162" ht="15.75" customHeight="1">
      <c r="A162" s="4"/>
      <c r="B162" s="4"/>
      <c r="C162" s="4"/>
      <c r="D162" s="4"/>
      <c r="E162" s="4"/>
      <c r="F162" s="4"/>
      <c r="G162" s="4"/>
      <c r="H162" s="4"/>
      <c r="I162" s="4"/>
      <c r="J162" s="4"/>
      <c r="K162" s="4"/>
    </row>
    <row r="163" ht="15.75" customHeight="1">
      <c r="A163" s="4"/>
      <c r="B163" s="4"/>
      <c r="C163" s="4"/>
      <c r="D163" s="4"/>
      <c r="E163" s="4"/>
      <c r="F163" s="4"/>
      <c r="G163" s="4"/>
      <c r="H163" s="4"/>
      <c r="I163" s="4"/>
      <c r="J163" s="4"/>
      <c r="K163" s="4"/>
    </row>
    <row r="164" ht="15.75" customHeight="1">
      <c r="A164" s="4"/>
      <c r="B164" s="4"/>
      <c r="C164" s="4"/>
      <c r="D164" s="4"/>
      <c r="E164" s="4"/>
      <c r="F164" s="4"/>
      <c r="G164" s="4"/>
      <c r="H164" s="4"/>
      <c r="I164" s="4"/>
      <c r="J164" s="4"/>
      <c r="K164" s="4"/>
    </row>
    <row r="165" ht="15.75" customHeight="1">
      <c r="A165" s="4"/>
      <c r="B165" s="4"/>
      <c r="C165" s="4"/>
      <c r="D165" s="4"/>
      <c r="E165" s="4"/>
      <c r="F165" s="4"/>
      <c r="G165" s="4"/>
      <c r="H165" s="4"/>
      <c r="I165" s="4"/>
      <c r="J165" s="4"/>
      <c r="K165" s="4"/>
    </row>
    <row r="166" ht="15.75" customHeight="1">
      <c r="A166" s="4"/>
      <c r="B166" s="4"/>
      <c r="C166" s="4"/>
      <c r="D166" s="4"/>
      <c r="E166" s="4"/>
      <c r="F166" s="4"/>
      <c r="G166" s="4"/>
      <c r="H166" s="4"/>
      <c r="I166" s="4"/>
      <c r="J166" s="4"/>
      <c r="K166" s="4"/>
    </row>
    <row r="167" ht="15.75" customHeight="1">
      <c r="A167" s="4"/>
      <c r="B167" s="4"/>
      <c r="C167" s="4"/>
      <c r="D167" s="4"/>
      <c r="E167" s="4"/>
      <c r="F167" s="4"/>
      <c r="G167" s="4"/>
      <c r="H167" s="4"/>
      <c r="I167" s="4"/>
      <c r="J167" s="4"/>
      <c r="K167" s="4"/>
    </row>
    <row r="168" ht="15.75" customHeight="1">
      <c r="A168" s="4"/>
      <c r="B168" s="4"/>
      <c r="C168" s="4"/>
      <c r="D168" s="4"/>
      <c r="E168" s="4"/>
      <c r="F168" s="4"/>
      <c r="G168" s="4"/>
      <c r="H168" s="4"/>
      <c r="I168" s="4"/>
      <c r="J168" s="4"/>
      <c r="K168" s="4"/>
    </row>
    <row r="169" ht="15.75" customHeight="1">
      <c r="A169" s="4"/>
      <c r="B169" s="4"/>
      <c r="C169" s="4"/>
      <c r="D169" s="4"/>
      <c r="E169" s="4"/>
      <c r="F169" s="4"/>
      <c r="G169" s="4"/>
      <c r="H169" s="4"/>
      <c r="I169" s="4"/>
      <c r="J169" s="4"/>
      <c r="K169" s="4"/>
    </row>
    <row r="170" ht="15.75" customHeight="1">
      <c r="A170" s="4"/>
      <c r="B170" s="4"/>
      <c r="C170" s="4"/>
      <c r="D170" s="4"/>
      <c r="E170" s="4"/>
      <c r="F170" s="4"/>
      <c r="G170" s="4"/>
      <c r="H170" s="4"/>
      <c r="I170" s="4"/>
      <c r="J170" s="4"/>
      <c r="K170" s="4"/>
    </row>
    <row r="171" ht="15.75" customHeight="1">
      <c r="A171" s="4"/>
      <c r="B171" s="4"/>
      <c r="C171" s="4"/>
      <c r="D171" s="4"/>
      <c r="E171" s="4"/>
      <c r="F171" s="4"/>
      <c r="G171" s="4"/>
      <c r="H171" s="4"/>
      <c r="I171" s="4"/>
      <c r="J171" s="4"/>
      <c r="K171" s="4"/>
    </row>
    <row r="172" ht="15.75" customHeight="1">
      <c r="A172" s="4"/>
      <c r="B172" s="4"/>
      <c r="C172" s="4"/>
      <c r="D172" s="4"/>
      <c r="E172" s="4"/>
      <c r="F172" s="4"/>
      <c r="G172" s="4"/>
      <c r="H172" s="4"/>
      <c r="I172" s="4"/>
      <c r="J172" s="4"/>
      <c r="K172" s="4"/>
    </row>
    <row r="173" ht="15.75" customHeight="1">
      <c r="A173" s="4"/>
      <c r="B173" s="4"/>
      <c r="C173" s="4"/>
      <c r="D173" s="4"/>
      <c r="E173" s="4"/>
      <c r="F173" s="4"/>
      <c r="G173" s="4"/>
      <c r="H173" s="4"/>
      <c r="I173" s="4"/>
      <c r="J173" s="4"/>
      <c r="K173" s="4"/>
    </row>
    <row r="174" ht="15.75" customHeight="1">
      <c r="A174" s="4"/>
      <c r="B174" s="4"/>
      <c r="C174" s="4"/>
      <c r="D174" s="4"/>
      <c r="E174" s="4"/>
      <c r="F174" s="4"/>
      <c r="G174" s="4"/>
      <c r="H174" s="4"/>
      <c r="I174" s="4"/>
      <c r="J174" s="4"/>
      <c r="K174" s="4"/>
    </row>
    <row r="175" ht="15.75" customHeight="1">
      <c r="A175" s="4"/>
      <c r="B175" s="4"/>
      <c r="C175" s="4"/>
      <c r="D175" s="4"/>
      <c r="E175" s="4"/>
      <c r="F175" s="4"/>
      <c r="G175" s="4"/>
      <c r="H175" s="4"/>
      <c r="I175" s="4"/>
      <c r="J175" s="4"/>
      <c r="K175" s="4"/>
    </row>
    <row r="176" ht="15.75" customHeight="1">
      <c r="A176" s="4"/>
      <c r="B176" s="4"/>
      <c r="C176" s="4"/>
      <c r="D176" s="4"/>
      <c r="E176" s="4"/>
      <c r="F176" s="4"/>
      <c r="G176" s="4"/>
      <c r="H176" s="4"/>
      <c r="I176" s="4"/>
      <c r="J176" s="4"/>
      <c r="K176" s="4"/>
    </row>
    <row r="177" ht="15.75" customHeight="1">
      <c r="A177" s="4"/>
      <c r="B177" s="4"/>
      <c r="C177" s="4"/>
      <c r="D177" s="4"/>
      <c r="E177" s="4"/>
      <c r="F177" s="4"/>
      <c r="G177" s="4"/>
      <c r="H177" s="4"/>
      <c r="I177" s="4"/>
      <c r="J177" s="4"/>
      <c r="K177" s="4"/>
    </row>
    <row r="178" ht="15.75" customHeight="1">
      <c r="A178" s="4"/>
      <c r="B178" s="4"/>
      <c r="C178" s="4"/>
      <c r="D178" s="4"/>
      <c r="E178" s="4"/>
      <c r="F178" s="4"/>
      <c r="G178" s="4"/>
      <c r="H178" s="4"/>
      <c r="I178" s="4"/>
      <c r="J178" s="4"/>
      <c r="K178" s="4"/>
    </row>
    <row r="179" ht="15.75" customHeight="1">
      <c r="A179" s="4"/>
      <c r="B179" s="4"/>
      <c r="C179" s="4"/>
      <c r="D179" s="4"/>
      <c r="E179" s="4"/>
      <c r="F179" s="4"/>
      <c r="G179" s="4"/>
      <c r="H179" s="4"/>
      <c r="I179" s="4"/>
      <c r="J179" s="4"/>
      <c r="K179" s="4"/>
    </row>
    <row r="180" ht="15.75" customHeight="1">
      <c r="A180" s="4"/>
      <c r="B180" s="4"/>
      <c r="C180" s="4"/>
      <c r="D180" s="4"/>
      <c r="E180" s="4"/>
      <c r="F180" s="4"/>
      <c r="G180" s="4"/>
      <c r="H180" s="4"/>
      <c r="I180" s="4"/>
      <c r="J180" s="4"/>
      <c r="K180" s="4"/>
    </row>
    <row r="181" ht="15.75" customHeight="1">
      <c r="A181" s="4"/>
      <c r="B181" s="4"/>
      <c r="C181" s="4"/>
      <c r="D181" s="4"/>
      <c r="E181" s="4"/>
      <c r="F181" s="4"/>
      <c r="G181" s="4"/>
      <c r="H181" s="4"/>
      <c r="I181" s="4"/>
      <c r="J181" s="4"/>
      <c r="K181" s="4"/>
    </row>
    <row r="182" ht="15.75" customHeight="1">
      <c r="A182" s="4"/>
      <c r="B182" s="4"/>
      <c r="C182" s="4"/>
      <c r="D182" s="4"/>
      <c r="E182" s="4"/>
      <c r="F182" s="4"/>
      <c r="G182" s="4"/>
      <c r="H182" s="4"/>
      <c r="I182" s="4"/>
      <c r="J182" s="4"/>
      <c r="K182" s="4"/>
    </row>
    <row r="183" ht="15.75" customHeight="1">
      <c r="A183" s="4"/>
      <c r="B183" s="4"/>
      <c r="C183" s="4"/>
      <c r="D183" s="4"/>
      <c r="E183" s="4"/>
      <c r="F183" s="4"/>
      <c r="G183" s="4"/>
      <c r="H183" s="4"/>
      <c r="I183" s="4"/>
      <c r="J183" s="4"/>
      <c r="K183" s="4"/>
    </row>
    <row r="184" ht="15.75" customHeight="1">
      <c r="A184" s="4"/>
      <c r="B184" s="4"/>
      <c r="C184" s="4"/>
      <c r="D184" s="4"/>
      <c r="E184" s="4"/>
      <c r="F184" s="4"/>
      <c r="G184" s="4"/>
      <c r="H184" s="4"/>
      <c r="I184" s="4"/>
      <c r="J184" s="4"/>
      <c r="K184" s="4"/>
    </row>
    <row r="185" ht="15.75" customHeight="1">
      <c r="A185" s="4"/>
      <c r="B185" s="4"/>
      <c r="C185" s="4"/>
      <c r="D185" s="4"/>
      <c r="E185" s="4"/>
      <c r="F185" s="4"/>
      <c r="G185" s="4"/>
      <c r="H185" s="4"/>
      <c r="I185" s="4"/>
      <c r="J185" s="4"/>
      <c r="K185" s="4"/>
    </row>
    <row r="186" ht="15.75" customHeight="1">
      <c r="A186" s="4"/>
      <c r="B186" s="4"/>
      <c r="C186" s="4"/>
      <c r="D186" s="4"/>
      <c r="E186" s="4"/>
      <c r="F186" s="4"/>
      <c r="G186" s="4"/>
      <c r="H186" s="4"/>
      <c r="I186" s="4"/>
      <c r="J186" s="4"/>
      <c r="K186" s="4"/>
    </row>
    <row r="187" ht="15.75" customHeight="1">
      <c r="A187" s="4"/>
      <c r="B187" s="4"/>
      <c r="C187" s="4"/>
      <c r="D187" s="4"/>
      <c r="E187" s="4"/>
      <c r="F187" s="4"/>
      <c r="G187" s="4"/>
      <c r="H187" s="4"/>
      <c r="I187" s="4"/>
      <c r="J187" s="4"/>
      <c r="K187" s="4"/>
    </row>
    <row r="188" ht="15.75" customHeight="1">
      <c r="A188" s="4"/>
      <c r="B188" s="4"/>
      <c r="C188" s="4"/>
      <c r="D188" s="4"/>
      <c r="E188" s="4"/>
      <c r="F188" s="4"/>
      <c r="G188" s="4"/>
      <c r="H188" s="4"/>
      <c r="I188" s="4"/>
      <c r="J188" s="4"/>
      <c r="K188" s="4"/>
    </row>
    <row r="189" ht="15.75" customHeight="1">
      <c r="A189" s="4"/>
      <c r="B189" s="4"/>
      <c r="C189" s="4"/>
      <c r="D189" s="4"/>
      <c r="E189" s="4"/>
      <c r="F189" s="4"/>
      <c r="G189" s="4"/>
      <c r="H189" s="4"/>
      <c r="I189" s="4"/>
      <c r="J189" s="4"/>
      <c r="K189" s="4"/>
    </row>
    <row r="190" ht="15.75" customHeight="1">
      <c r="A190" s="4"/>
      <c r="B190" s="4"/>
      <c r="C190" s="4"/>
      <c r="D190" s="4"/>
      <c r="E190" s="4"/>
      <c r="F190" s="4"/>
      <c r="G190" s="4"/>
      <c r="H190" s="4"/>
      <c r="I190" s="4"/>
      <c r="J190" s="4"/>
      <c r="K190" s="4"/>
    </row>
    <row r="191" ht="15.75" customHeight="1">
      <c r="A191" s="4"/>
      <c r="B191" s="4"/>
      <c r="C191" s="4"/>
      <c r="D191" s="4"/>
      <c r="E191" s="4"/>
      <c r="F191" s="4"/>
      <c r="G191" s="4"/>
      <c r="H191" s="4"/>
      <c r="I191" s="4"/>
      <c r="J191" s="4"/>
      <c r="K191" s="4"/>
    </row>
    <row r="192" ht="15.75" customHeight="1">
      <c r="A192" s="4"/>
      <c r="B192" s="4"/>
      <c r="C192" s="4"/>
      <c r="D192" s="4"/>
      <c r="E192" s="4"/>
      <c r="F192" s="4"/>
      <c r="G192" s="4"/>
      <c r="H192" s="4"/>
      <c r="I192" s="4"/>
      <c r="J192" s="4"/>
      <c r="K192" s="4"/>
    </row>
    <row r="193" ht="15.75" customHeight="1">
      <c r="A193" s="4"/>
      <c r="B193" s="4"/>
      <c r="C193" s="4"/>
      <c r="D193" s="4"/>
      <c r="E193" s="4"/>
      <c r="F193" s="4"/>
      <c r="G193" s="4"/>
      <c r="H193" s="4"/>
      <c r="I193" s="4"/>
      <c r="J193" s="4"/>
      <c r="K193" s="4"/>
    </row>
    <row r="194" ht="15.75" customHeight="1">
      <c r="A194" s="4"/>
      <c r="B194" s="4"/>
      <c r="C194" s="4"/>
      <c r="D194" s="4"/>
      <c r="E194" s="4"/>
      <c r="F194" s="4"/>
      <c r="G194" s="4"/>
      <c r="H194" s="4"/>
      <c r="I194" s="4"/>
      <c r="J194" s="4"/>
      <c r="K194" s="4"/>
    </row>
    <row r="195" ht="15.75" customHeight="1">
      <c r="A195" s="4"/>
      <c r="B195" s="4"/>
      <c r="C195" s="4"/>
      <c r="D195" s="4"/>
      <c r="E195" s="4"/>
      <c r="F195" s="4"/>
      <c r="G195" s="4"/>
      <c r="H195" s="4"/>
      <c r="I195" s="4"/>
      <c r="J195" s="4"/>
      <c r="K195" s="4"/>
    </row>
    <row r="196" ht="15.75" customHeight="1">
      <c r="A196" s="4"/>
      <c r="B196" s="4"/>
      <c r="C196" s="4"/>
      <c r="D196" s="4"/>
      <c r="E196" s="4"/>
      <c r="F196" s="4"/>
      <c r="G196" s="4"/>
      <c r="H196" s="4"/>
      <c r="I196" s="4"/>
      <c r="J196" s="4"/>
      <c r="K196" s="4"/>
    </row>
    <row r="197" ht="15.75" customHeight="1">
      <c r="A197" s="4"/>
      <c r="B197" s="4"/>
      <c r="C197" s="4"/>
      <c r="D197" s="4"/>
      <c r="E197" s="4"/>
      <c r="F197" s="4"/>
      <c r="G197" s="4"/>
      <c r="H197" s="4"/>
      <c r="I197" s="4"/>
      <c r="J197" s="4"/>
      <c r="K197" s="4"/>
    </row>
    <row r="198" ht="15.75" customHeight="1">
      <c r="A198" s="4"/>
      <c r="B198" s="4"/>
      <c r="C198" s="4"/>
      <c r="D198" s="4"/>
      <c r="E198" s="4"/>
      <c r="F198" s="4"/>
      <c r="G198" s="4"/>
      <c r="H198" s="4"/>
      <c r="I198" s="4"/>
      <c r="J198" s="4"/>
      <c r="K198" s="4"/>
    </row>
    <row r="199" ht="15.75" customHeight="1">
      <c r="A199" s="4"/>
      <c r="B199" s="4"/>
      <c r="C199" s="4"/>
      <c r="D199" s="4"/>
      <c r="E199" s="4"/>
      <c r="F199" s="4"/>
      <c r="G199" s="4"/>
      <c r="H199" s="4"/>
      <c r="I199" s="4"/>
      <c r="J199" s="4"/>
      <c r="K199" s="4"/>
    </row>
    <row r="200" ht="15.75" customHeight="1">
      <c r="A200" s="4"/>
      <c r="B200" s="4"/>
      <c r="C200" s="4"/>
      <c r="D200" s="4"/>
      <c r="E200" s="4"/>
      <c r="F200" s="4"/>
      <c r="G200" s="4"/>
      <c r="H200" s="4"/>
      <c r="I200" s="4"/>
      <c r="J200" s="4"/>
      <c r="K200" s="4"/>
    </row>
    <row r="201" ht="15.75" customHeight="1">
      <c r="A201" s="4"/>
      <c r="B201" s="4"/>
      <c r="C201" s="4"/>
      <c r="D201" s="4"/>
      <c r="E201" s="4"/>
      <c r="F201" s="4"/>
      <c r="G201" s="4"/>
      <c r="H201" s="4"/>
      <c r="I201" s="4"/>
      <c r="J201" s="4"/>
      <c r="K201" s="4"/>
    </row>
    <row r="202" ht="15.75" customHeight="1">
      <c r="A202" s="4"/>
      <c r="B202" s="4"/>
      <c r="C202" s="4"/>
      <c r="D202" s="4"/>
      <c r="E202" s="4"/>
      <c r="F202" s="4"/>
      <c r="G202" s="4"/>
      <c r="H202" s="4"/>
      <c r="I202" s="4"/>
      <c r="J202" s="4"/>
      <c r="K202" s="4"/>
    </row>
    <row r="203" ht="15.75" customHeight="1">
      <c r="A203" s="4"/>
      <c r="B203" s="4"/>
      <c r="C203" s="4"/>
      <c r="D203" s="4"/>
      <c r="E203" s="4"/>
      <c r="F203" s="4"/>
      <c r="G203" s="4"/>
      <c r="H203" s="4"/>
      <c r="I203" s="4"/>
      <c r="J203" s="4"/>
      <c r="K203" s="4"/>
    </row>
    <row r="204" ht="15.75" customHeight="1">
      <c r="A204" s="4"/>
      <c r="B204" s="4"/>
      <c r="C204" s="4"/>
      <c r="D204" s="4"/>
      <c r="E204" s="4"/>
      <c r="F204" s="4"/>
      <c r="G204" s="4"/>
      <c r="H204" s="4"/>
      <c r="I204" s="4"/>
      <c r="J204" s="4"/>
      <c r="K204" s="4"/>
    </row>
    <row r="205" ht="15.75" customHeight="1">
      <c r="A205" s="4"/>
      <c r="B205" s="4"/>
      <c r="C205" s="4"/>
      <c r="D205" s="4"/>
      <c r="E205" s="4"/>
      <c r="F205" s="4"/>
      <c r="G205" s="4"/>
      <c r="H205" s="4"/>
      <c r="I205" s="4"/>
      <c r="J205" s="4"/>
      <c r="K205" s="4"/>
    </row>
    <row r="206" ht="15.75" customHeight="1">
      <c r="A206" s="4"/>
      <c r="B206" s="4"/>
      <c r="C206" s="4"/>
      <c r="D206" s="4"/>
      <c r="E206" s="4"/>
      <c r="F206" s="4"/>
      <c r="G206" s="4"/>
      <c r="H206" s="4"/>
      <c r="I206" s="4"/>
      <c r="J206" s="4"/>
      <c r="K206" s="4"/>
    </row>
    <row r="207" ht="15.75" customHeight="1">
      <c r="A207" s="4"/>
      <c r="B207" s="4"/>
      <c r="C207" s="4"/>
      <c r="D207" s="4"/>
      <c r="E207" s="4"/>
      <c r="F207" s="4"/>
      <c r="G207" s="4"/>
      <c r="H207" s="4"/>
      <c r="I207" s="4"/>
      <c r="J207" s="4"/>
      <c r="K207" s="4"/>
    </row>
    <row r="208" ht="15.75" customHeight="1">
      <c r="A208" s="4"/>
      <c r="B208" s="4"/>
      <c r="C208" s="4"/>
      <c r="D208" s="4"/>
      <c r="E208" s="4"/>
      <c r="F208" s="4"/>
      <c r="G208" s="4"/>
      <c r="H208" s="4"/>
      <c r="I208" s="4"/>
      <c r="J208" s="4"/>
      <c r="K208" s="4"/>
    </row>
    <row r="209" ht="15.75" customHeight="1">
      <c r="A209" s="4"/>
      <c r="B209" s="4"/>
      <c r="C209" s="4"/>
      <c r="D209" s="4"/>
      <c r="E209" s="4"/>
      <c r="F209" s="4"/>
      <c r="G209" s="4"/>
      <c r="H209" s="4"/>
      <c r="I209" s="4"/>
      <c r="J209" s="4"/>
      <c r="K209" s="4"/>
    </row>
    <row r="210" ht="15.75" customHeight="1">
      <c r="A210" s="4"/>
      <c r="B210" s="4"/>
      <c r="C210" s="4"/>
      <c r="D210" s="4"/>
      <c r="E210" s="4"/>
      <c r="F210" s="4"/>
      <c r="G210" s="4"/>
      <c r="H210" s="4"/>
      <c r="I210" s="4"/>
      <c r="J210" s="4"/>
      <c r="K210" s="4"/>
    </row>
    <row r="211" ht="15.75" customHeight="1">
      <c r="A211" s="4"/>
      <c r="B211" s="4"/>
      <c r="C211" s="4"/>
      <c r="D211" s="4"/>
      <c r="E211" s="4"/>
      <c r="F211" s="4"/>
      <c r="G211" s="4"/>
      <c r="H211" s="4"/>
      <c r="I211" s="4"/>
      <c r="J211" s="4"/>
      <c r="K211" s="4"/>
    </row>
    <row r="212" ht="15.75" customHeight="1">
      <c r="A212" s="4"/>
      <c r="B212" s="4"/>
      <c r="C212" s="4"/>
      <c r="D212" s="4"/>
      <c r="E212" s="4"/>
      <c r="F212" s="4"/>
      <c r="G212" s="4"/>
      <c r="H212" s="4"/>
      <c r="I212" s="4"/>
      <c r="J212" s="4"/>
      <c r="K212" s="4"/>
    </row>
    <row r="213" ht="15.75" customHeight="1">
      <c r="A213" s="4"/>
      <c r="B213" s="4"/>
      <c r="C213" s="4"/>
      <c r="D213" s="4"/>
      <c r="E213" s="4"/>
      <c r="F213" s="4"/>
      <c r="G213" s="4"/>
      <c r="H213" s="4"/>
      <c r="I213" s="4"/>
      <c r="J213" s="4"/>
      <c r="K213" s="4"/>
    </row>
    <row r="214" ht="15.75" customHeight="1">
      <c r="A214" s="4"/>
      <c r="B214" s="4"/>
      <c r="C214" s="4"/>
      <c r="D214" s="4"/>
      <c r="E214" s="4"/>
      <c r="F214" s="4"/>
      <c r="G214" s="4"/>
      <c r="H214" s="4"/>
      <c r="I214" s="4"/>
      <c r="J214" s="4"/>
      <c r="K214" s="4"/>
    </row>
    <row r="215" ht="15.75" customHeight="1">
      <c r="A215" s="4"/>
      <c r="B215" s="4"/>
      <c r="C215" s="4"/>
      <c r="D215" s="4"/>
      <c r="E215" s="4"/>
      <c r="F215" s="4"/>
      <c r="G215" s="4"/>
      <c r="H215" s="4"/>
      <c r="I215" s="4"/>
      <c r="J215" s="4"/>
      <c r="K215" s="4"/>
    </row>
    <row r="216" ht="15.75" customHeight="1">
      <c r="A216" s="4"/>
      <c r="B216" s="4"/>
      <c r="C216" s="4"/>
      <c r="D216" s="4"/>
      <c r="E216" s="4"/>
      <c r="F216" s="4"/>
      <c r="G216" s="4"/>
      <c r="H216" s="4"/>
      <c r="I216" s="4"/>
      <c r="J216" s="4"/>
      <c r="K216" s="4"/>
    </row>
    <row r="217" ht="15.75" customHeight="1">
      <c r="A217" s="4"/>
      <c r="B217" s="4"/>
      <c r="C217" s="4"/>
      <c r="D217" s="4"/>
      <c r="E217" s="4"/>
      <c r="F217" s="4"/>
      <c r="G217" s="4"/>
      <c r="H217" s="4"/>
      <c r="I217" s="4"/>
      <c r="J217" s="4"/>
      <c r="K217" s="4"/>
    </row>
    <row r="218" ht="15.75" customHeight="1">
      <c r="A218" s="4"/>
      <c r="B218" s="4"/>
      <c r="C218" s="4"/>
      <c r="D218" s="4"/>
      <c r="E218" s="4"/>
      <c r="F218" s="4"/>
      <c r="G218" s="4"/>
      <c r="H218" s="4"/>
      <c r="I218" s="4"/>
      <c r="J218" s="4"/>
      <c r="K218" s="4"/>
    </row>
    <row r="219" ht="15.75" customHeight="1">
      <c r="A219" s="4"/>
      <c r="B219" s="4"/>
      <c r="C219" s="4"/>
      <c r="D219" s="4"/>
      <c r="E219" s="4"/>
      <c r="F219" s="4"/>
      <c r="G219" s="4"/>
      <c r="H219" s="4"/>
      <c r="I219" s="4"/>
      <c r="J219" s="4"/>
      <c r="K219" s="4"/>
    </row>
    <row r="220" ht="15.75" customHeight="1">
      <c r="A220" s="4"/>
      <c r="B220" s="4"/>
      <c r="C220" s="4"/>
      <c r="D220" s="4"/>
      <c r="E220" s="4"/>
      <c r="F220" s="4"/>
      <c r="G220" s="4"/>
      <c r="H220" s="4"/>
      <c r="I220" s="4"/>
      <c r="J220" s="4"/>
      <c r="K220" s="4"/>
    </row>
    <row r="221" ht="15.75" customHeight="1">
      <c r="A221" s="4"/>
      <c r="B221" s="4"/>
      <c r="C221" s="4"/>
      <c r="D221" s="4"/>
      <c r="E221" s="4"/>
      <c r="F221" s="4"/>
      <c r="G221" s="4"/>
      <c r="H221" s="4"/>
      <c r="I221" s="4"/>
      <c r="J221" s="4"/>
      <c r="K221" s="4"/>
    </row>
    <row r="222" ht="15.75" customHeight="1">
      <c r="A222" s="4"/>
      <c r="B222" s="4"/>
      <c r="C222" s="4"/>
      <c r="D222" s="4"/>
      <c r="E222" s="4"/>
      <c r="F222" s="4"/>
      <c r="G222" s="4"/>
      <c r="H222" s="4"/>
      <c r="I222" s="4"/>
      <c r="J222" s="4"/>
      <c r="K222" s="4"/>
    </row>
    <row r="223" ht="15.75" customHeight="1">
      <c r="A223" s="4"/>
      <c r="B223" s="4"/>
      <c r="C223" s="4"/>
      <c r="D223" s="4"/>
      <c r="E223" s="4"/>
      <c r="F223" s="4"/>
      <c r="G223" s="4"/>
      <c r="H223" s="4"/>
      <c r="I223" s="4"/>
      <c r="J223" s="4"/>
      <c r="K223" s="4"/>
    </row>
    <row r="224" ht="15.75" customHeight="1">
      <c r="A224" s="4"/>
      <c r="B224" s="4"/>
      <c r="C224" s="4"/>
      <c r="D224" s="4"/>
      <c r="E224" s="4"/>
      <c r="F224" s="4"/>
      <c r="G224" s="4"/>
      <c r="H224" s="4"/>
      <c r="I224" s="4"/>
      <c r="J224" s="4"/>
      <c r="K224" s="4"/>
    </row>
    <row r="225" ht="15.75" customHeight="1">
      <c r="A225" s="4"/>
      <c r="B225" s="4"/>
      <c r="C225" s="4"/>
      <c r="D225" s="4"/>
      <c r="E225" s="4"/>
      <c r="F225" s="4"/>
      <c r="G225" s="4"/>
      <c r="H225" s="4"/>
      <c r="I225" s="4"/>
      <c r="J225" s="4"/>
      <c r="K225" s="4"/>
    </row>
    <row r="226" ht="15.75" customHeight="1">
      <c r="A226" s="4"/>
      <c r="B226" s="4"/>
      <c r="C226" s="4"/>
      <c r="D226" s="4"/>
      <c r="E226" s="4"/>
      <c r="F226" s="4"/>
      <c r="G226" s="4"/>
      <c r="H226" s="4"/>
      <c r="I226" s="4"/>
      <c r="J226" s="4"/>
      <c r="K226" s="4"/>
    </row>
    <row r="227" ht="15.75" customHeight="1">
      <c r="A227" s="4"/>
      <c r="B227" s="4"/>
      <c r="C227" s="4"/>
      <c r="D227" s="4"/>
      <c r="E227" s="4"/>
      <c r="F227" s="4"/>
      <c r="G227" s="4"/>
      <c r="H227" s="4"/>
      <c r="I227" s="4"/>
      <c r="J227" s="4"/>
      <c r="K227" s="4"/>
    </row>
    <row r="228" ht="15.75" customHeight="1">
      <c r="A228" s="4"/>
      <c r="B228" s="4"/>
      <c r="C228" s="4"/>
      <c r="D228" s="4"/>
      <c r="E228" s="4"/>
      <c r="F228" s="4"/>
      <c r="G228" s="4"/>
      <c r="H228" s="4"/>
      <c r="I228" s="4"/>
      <c r="J228" s="4"/>
      <c r="K228" s="4"/>
    </row>
    <row r="229" ht="15.75" customHeight="1">
      <c r="A229" s="4"/>
      <c r="B229" s="4"/>
      <c r="C229" s="4"/>
      <c r="D229" s="4"/>
      <c r="E229" s="4"/>
      <c r="F229" s="4"/>
      <c r="G229" s="4"/>
      <c r="H229" s="4"/>
      <c r="I229" s="4"/>
      <c r="J229" s="4"/>
      <c r="K229" s="4"/>
    </row>
    <row r="230" ht="15.75" customHeight="1">
      <c r="A230" s="4"/>
      <c r="B230" s="4"/>
      <c r="C230" s="4"/>
      <c r="D230" s="4"/>
      <c r="E230" s="4"/>
      <c r="F230" s="4"/>
      <c r="G230" s="4"/>
      <c r="H230" s="4"/>
      <c r="I230" s="4"/>
      <c r="J230" s="4"/>
      <c r="K230" s="4"/>
    </row>
    <row r="231" ht="15.75" customHeight="1">
      <c r="A231" s="4"/>
      <c r="B231" s="4"/>
      <c r="C231" s="4"/>
      <c r="D231" s="4"/>
      <c r="E231" s="4"/>
      <c r="F231" s="4"/>
      <c r="G231" s="4"/>
      <c r="H231" s="4"/>
      <c r="I231" s="4"/>
      <c r="J231" s="4"/>
      <c r="K231" s="4"/>
    </row>
    <row r="232" ht="15.75" customHeight="1">
      <c r="A232" s="4"/>
      <c r="B232" s="4"/>
      <c r="C232" s="4"/>
      <c r="D232" s="4"/>
      <c r="E232" s="4"/>
      <c r="F232" s="4"/>
      <c r="G232" s="4"/>
      <c r="H232" s="4"/>
      <c r="I232" s="4"/>
      <c r="J232" s="4"/>
      <c r="K232" s="4"/>
    </row>
    <row r="233" ht="15.75" customHeight="1">
      <c r="A233" s="4"/>
      <c r="B233" s="4"/>
      <c r="C233" s="4"/>
      <c r="D233" s="4"/>
      <c r="E233" s="4"/>
      <c r="F233" s="4"/>
      <c r="G233" s="4"/>
      <c r="H233" s="4"/>
      <c r="I233" s="4"/>
      <c r="J233" s="4"/>
      <c r="K233" s="4"/>
    </row>
    <row r="234" ht="15.75" customHeight="1">
      <c r="A234" s="4"/>
      <c r="B234" s="4"/>
      <c r="C234" s="4"/>
      <c r="D234" s="4"/>
      <c r="E234" s="4"/>
      <c r="F234" s="4"/>
      <c r="G234" s="4"/>
      <c r="H234" s="4"/>
      <c r="I234" s="4"/>
      <c r="J234" s="4"/>
      <c r="K234" s="4"/>
    </row>
    <row r="235" ht="15.75" customHeight="1">
      <c r="A235" s="4"/>
      <c r="B235" s="4"/>
      <c r="C235" s="4"/>
      <c r="D235" s="4"/>
      <c r="E235" s="4"/>
      <c r="F235" s="4"/>
      <c r="G235" s="4"/>
      <c r="H235" s="4"/>
      <c r="I235" s="4"/>
      <c r="J235" s="4"/>
      <c r="K235" s="4"/>
    </row>
    <row r="236" ht="15.75" customHeight="1">
      <c r="A236" s="4"/>
      <c r="B236" s="4"/>
      <c r="C236" s="4"/>
      <c r="D236" s="4"/>
      <c r="E236" s="4"/>
      <c r="F236" s="4"/>
      <c r="G236" s="4"/>
      <c r="H236" s="4"/>
      <c r="I236" s="4"/>
      <c r="J236" s="4"/>
      <c r="K236" s="4"/>
    </row>
    <row r="237" ht="15.75" customHeight="1">
      <c r="A237" s="4"/>
      <c r="B237" s="4"/>
      <c r="C237" s="4"/>
      <c r="D237" s="4"/>
      <c r="E237" s="4"/>
      <c r="F237" s="4"/>
      <c r="G237" s="4"/>
      <c r="H237" s="4"/>
      <c r="I237" s="4"/>
      <c r="J237" s="4"/>
      <c r="K237" s="4"/>
    </row>
    <row r="238" ht="15.75" customHeight="1">
      <c r="A238" s="4"/>
      <c r="B238" s="4"/>
      <c r="C238" s="4"/>
      <c r="D238" s="4"/>
      <c r="E238" s="4"/>
      <c r="F238" s="4"/>
      <c r="G238" s="4"/>
      <c r="H238" s="4"/>
      <c r="I238" s="4"/>
      <c r="J238" s="4"/>
      <c r="K238" s="4"/>
    </row>
    <row r="239" ht="15.75" customHeight="1">
      <c r="A239" s="4"/>
      <c r="B239" s="4"/>
      <c r="C239" s="4"/>
      <c r="D239" s="4"/>
      <c r="E239" s="4"/>
      <c r="F239" s="4"/>
      <c r="G239" s="4"/>
      <c r="H239" s="4"/>
      <c r="I239" s="4"/>
      <c r="J239" s="4"/>
      <c r="K239" s="4"/>
    </row>
    <row r="240" ht="15.75" customHeight="1">
      <c r="A240" s="4"/>
      <c r="B240" s="4"/>
      <c r="C240" s="4"/>
      <c r="D240" s="4"/>
      <c r="E240" s="4"/>
      <c r="F240" s="4"/>
      <c r="G240" s="4"/>
      <c r="H240" s="4"/>
      <c r="I240" s="4"/>
      <c r="J240" s="4"/>
      <c r="K240" s="4"/>
    </row>
    <row r="241" ht="15.75" customHeight="1">
      <c r="A241" s="4"/>
      <c r="B241" s="4"/>
      <c r="C241" s="4"/>
      <c r="D241" s="4"/>
      <c r="E241" s="4"/>
      <c r="F241" s="4"/>
      <c r="G241" s="4"/>
      <c r="H241" s="4"/>
      <c r="I241" s="4"/>
      <c r="J241" s="4"/>
      <c r="K241" s="4"/>
    </row>
    <row r="242" ht="15.75" customHeight="1">
      <c r="A242" s="4"/>
      <c r="B242" s="4"/>
      <c r="C242" s="4"/>
      <c r="D242" s="4"/>
      <c r="E242" s="4"/>
      <c r="F242" s="4"/>
      <c r="G242" s="4"/>
      <c r="H242" s="4"/>
      <c r="I242" s="4"/>
      <c r="J242" s="4"/>
      <c r="K242" s="4"/>
    </row>
    <row r="243" ht="15.75" customHeight="1">
      <c r="A243" s="4"/>
      <c r="B243" s="4"/>
      <c r="C243" s="4"/>
      <c r="D243" s="4"/>
      <c r="E243" s="4"/>
      <c r="F243" s="4"/>
      <c r="G243" s="4"/>
      <c r="H243" s="4"/>
      <c r="I243" s="4"/>
      <c r="J243" s="4"/>
      <c r="K243" s="4"/>
    </row>
    <row r="244" ht="15.75" customHeight="1">
      <c r="A244" s="4"/>
      <c r="B244" s="4"/>
      <c r="C244" s="4"/>
      <c r="D244" s="4"/>
      <c r="E244" s="4"/>
      <c r="F244" s="4"/>
      <c r="G244" s="4"/>
      <c r="H244" s="4"/>
      <c r="I244" s="4"/>
      <c r="J244" s="4"/>
      <c r="K244" s="4"/>
    </row>
    <row r="245" ht="15.75" customHeight="1">
      <c r="A245" s="4"/>
      <c r="B245" s="4"/>
      <c r="C245" s="4"/>
      <c r="D245" s="4"/>
      <c r="E245" s="4"/>
      <c r="F245" s="4"/>
      <c r="G245" s="4"/>
      <c r="H245" s="4"/>
      <c r="I245" s="4"/>
      <c r="J245" s="4"/>
      <c r="K245" s="4"/>
    </row>
    <row r="246" ht="15.75" customHeight="1">
      <c r="A246" s="4"/>
      <c r="B246" s="4"/>
      <c r="C246" s="4"/>
      <c r="D246" s="4"/>
      <c r="E246" s="4"/>
      <c r="F246" s="4"/>
      <c r="G246" s="4"/>
      <c r="H246" s="4"/>
      <c r="I246" s="4"/>
      <c r="J246" s="4"/>
      <c r="K246" s="4"/>
    </row>
    <row r="247" ht="15.75" customHeight="1">
      <c r="A247" s="4"/>
      <c r="B247" s="4"/>
      <c r="C247" s="4"/>
      <c r="D247" s="4"/>
      <c r="E247" s="4"/>
      <c r="F247" s="4"/>
      <c r="G247" s="4"/>
      <c r="H247" s="4"/>
      <c r="I247" s="4"/>
      <c r="J247" s="4"/>
      <c r="K247" s="4"/>
    </row>
    <row r="248" ht="15.75" customHeight="1">
      <c r="A248" s="4"/>
      <c r="B248" s="4"/>
      <c r="C248" s="4"/>
      <c r="D248" s="4"/>
      <c r="E248" s="4"/>
      <c r="F248" s="4"/>
      <c r="G248" s="4"/>
      <c r="H248" s="4"/>
      <c r="I248" s="4"/>
      <c r="J248" s="4"/>
      <c r="K248" s="4"/>
    </row>
    <row r="249" ht="15.75" customHeight="1">
      <c r="A249" s="4"/>
      <c r="B249" s="4"/>
      <c r="C249" s="4"/>
      <c r="D249" s="4"/>
      <c r="E249" s="4"/>
      <c r="F249" s="4"/>
      <c r="G249" s="4"/>
      <c r="H249" s="4"/>
      <c r="I249" s="4"/>
      <c r="J249" s="4"/>
      <c r="K249" s="4"/>
    </row>
    <row r="250" ht="15.75" customHeight="1">
      <c r="A250" s="4"/>
      <c r="B250" s="4"/>
      <c r="C250" s="4"/>
      <c r="D250" s="4"/>
      <c r="E250" s="4"/>
      <c r="F250" s="4"/>
      <c r="G250" s="4"/>
      <c r="H250" s="4"/>
      <c r="I250" s="4"/>
      <c r="J250" s="4"/>
      <c r="K250" s="4"/>
    </row>
    <row r="251" ht="15.75" customHeight="1">
      <c r="A251" s="4"/>
      <c r="B251" s="4"/>
      <c r="C251" s="4"/>
      <c r="D251" s="4"/>
      <c r="E251" s="4"/>
      <c r="F251" s="4"/>
      <c r="G251" s="4"/>
      <c r="H251" s="4"/>
      <c r="I251" s="4"/>
      <c r="J251" s="4"/>
      <c r="K251" s="4"/>
    </row>
    <row r="252" ht="15.75" customHeight="1">
      <c r="A252" s="4"/>
      <c r="B252" s="4"/>
      <c r="C252" s="4"/>
      <c r="D252" s="4"/>
      <c r="E252" s="4"/>
      <c r="F252" s="4"/>
      <c r="G252" s="4"/>
      <c r="H252" s="4"/>
      <c r="I252" s="4"/>
      <c r="J252" s="4"/>
      <c r="K252" s="4"/>
    </row>
    <row r="253" ht="15.75" customHeight="1">
      <c r="A253" s="4"/>
      <c r="B253" s="4"/>
      <c r="C253" s="4"/>
      <c r="D253" s="4"/>
      <c r="E253" s="4"/>
      <c r="F253" s="4"/>
      <c r="G253" s="4"/>
      <c r="H253" s="4"/>
      <c r="I253" s="4"/>
      <c r="J253" s="4"/>
      <c r="K253" s="4"/>
    </row>
    <row r="254" ht="15.75" customHeight="1">
      <c r="A254" s="4"/>
      <c r="B254" s="4"/>
      <c r="C254" s="4"/>
      <c r="D254" s="4"/>
      <c r="E254" s="4"/>
      <c r="F254" s="4"/>
      <c r="G254" s="4"/>
      <c r="H254" s="4"/>
      <c r="I254" s="4"/>
      <c r="J254" s="4"/>
      <c r="K254" s="4"/>
    </row>
    <row r="255" ht="15.75" customHeight="1">
      <c r="A255" s="4"/>
      <c r="B255" s="4"/>
      <c r="C255" s="4"/>
      <c r="D255" s="4"/>
      <c r="E255" s="4"/>
      <c r="F255" s="4"/>
      <c r="G255" s="4"/>
      <c r="H255" s="4"/>
      <c r="I255" s="4"/>
      <c r="J255" s="4"/>
      <c r="K255" s="4"/>
    </row>
    <row r="256" ht="15.75" customHeight="1">
      <c r="A256" s="4"/>
      <c r="B256" s="4"/>
      <c r="C256" s="4"/>
      <c r="D256" s="4"/>
      <c r="E256" s="4"/>
      <c r="F256" s="4"/>
      <c r="G256" s="4"/>
      <c r="H256" s="4"/>
      <c r="I256" s="4"/>
      <c r="J256" s="4"/>
      <c r="K256" s="4"/>
    </row>
    <row r="257" ht="15.75" customHeight="1">
      <c r="A257" s="4"/>
      <c r="B257" s="4"/>
      <c r="C257" s="4"/>
      <c r="D257" s="4"/>
      <c r="E257" s="4"/>
      <c r="F257" s="4"/>
      <c r="G257" s="4"/>
      <c r="H257" s="4"/>
      <c r="I257" s="4"/>
      <c r="J257" s="4"/>
      <c r="K257" s="4"/>
    </row>
    <row r="258" ht="15.75" customHeight="1">
      <c r="A258" s="4"/>
      <c r="B258" s="4"/>
      <c r="C258" s="4"/>
      <c r="D258" s="4"/>
      <c r="E258" s="4"/>
      <c r="F258" s="4"/>
      <c r="G258" s="4"/>
      <c r="H258" s="4"/>
      <c r="I258" s="4"/>
      <c r="J258" s="4"/>
      <c r="K258" s="4"/>
    </row>
    <row r="259" ht="15.75" customHeight="1">
      <c r="A259" s="4"/>
      <c r="B259" s="4"/>
      <c r="C259" s="4"/>
      <c r="D259" s="4"/>
      <c r="E259" s="4"/>
      <c r="F259" s="4"/>
      <c r="G259" s="4"/>
      <c r="H259" s="4"/>
      <c r="I259" s="4"/>
      <c r="J259" s="4"/>
      <c r="K259" s="4"/>
    </row>
    <row r="260" ht="15.75" customHeight="1">
      <c r="A260" s="4"/>
      <c r="B260" s="4"/>
      <c r="C260" s="4"/>
      <c r="D260" s="4"/>
      <c r="E260" s="4"/>
      <c r="F260" s="4"/>
      <c r="G260" s="4"/>
      <c r="H260" s="4"/>
      <c r="I260" s="4"/>
      <c r="J260" s="4"/>
      <c r="K260" s="4"/>
    </row>
    <row r="261" ht="15.75" customHeight="1">
      <c r="A261" s="4"/>
      <c r="B261" s="4"/>
      <c r="C261" s="4"/>
      <c r="D261" s="4"/>
      <c r="E261" s="4"/>
      <c r="F261" s="4"/>
      <c r="G261" s="4"/>
      <c r="H261" s="4"/>
      <c r="I261" s="4"/>
      <c r="J261" s="4"/>
      <c r="K261" s="4"/>
    </row>
    <row r="262" ht="15.75" customHeight="1">
      <c r="A262" s="4"/>
      <c r="B262" s="4"/>
      <c r="C262" s="4"/>
      <c r="D262" s="4"/>
      <c r="E262" s="4"/>
      <c r="F262" s="4"/>
      <c r="G262" s="4"/>
      <c r="H262" s="4"/>
      <c r="I262" s="4"/>
      <c r="J262" s="4"/>
      <c r="K262" s="4"/>
    </row>
    <row r="263" ht="15.75" customHeight="1">
      <c r="A263" s="4"/>
      <c r="B263" s="4"/>
      <c r="C263" s="4"/>
      <c r="D263" s="4"/>
      <c r="E263" s="4"/>
      <c r="F263" s="4"/>
      <c r="G263" s="4"/>
      <c r="H263" s="4"/>
      <c r="I263" s="4"/>
      <c r="J263" s="4"/>
      <c r="K263" s="4"/>
    </row>
    <row r="264" ht="15.75" customHeight="1">
      <c r="A264" s="4"/>
      <c r="B264" s="4"/>
      <c r="C264" s="4"/>
      <c r="D264" s="4"/>
      <c r="E264" s="4"/>
      <c r="F264" s="4"/>
      <c r="G264" s="4"/>
      <c r="H264" s="4"/>
      <c r="I264" s="4"/>
      <c r="J264" s="4"/>
      <c r="K264" s="4"/>
    </row>
    <row r="265" ht="15.75" customHeight="1">
      <c r="A265" s="4"/>
      <c r="B265" s="4"/>
      <c r="C265" s="4"/>
      <c r="D265" s="4"/>
      <c r="E265" s="4"/>
      <c r="F265" s="4"/>
      <c r="G265" s="4"/>
      <c r="H265" s="4"/>
      <c r="I265" s="4"/>
      <c r="J265" s="4"/>
      <c r="K265" s="4"/>
    </row>
    <row r="266" ht="15.75" customHeight="1">
      <c r="A266" s="4"/>
      <c r="B266" s="4"/>
      <c r="C266" s="4"/>
      <c r="D266" s="4"/>
      <c r="E266" s="4"/>
      <c r="F266" s="4"/>
      <c r="G266" s="4"/>
      <c r="H266" s="4"/>
      <c r="I266" s="4"/>
      <c r="J266" s="4"/>
      <c r="K266" s="4"/>
    </row>
    <row r="267" ht="15.75" customHeight="1">
      <c r="A267" s="4"/>
      <c r="B267" s="4"/>
      <c r="C267" s="4"/>
      <c r="D267" s="4"/>
      <c r="E267" s="4"/>
      <c r="F267" s="4"/>
      <c r="G267" s="4"/>
      <c r="H267" s="4"/>
      <c r="I267" s="4"/>
      <c r="J267" s="4"/>
      <c r="K267" s="4"/>
    </row>
    <row r="268" ht="15.75" customHeight="1">
      <c r="A268" s="4"/>
      <c r="B268" s="4"/>
      <c r="C268" s="4"/>
      <c r="D268" s="4"/>
      <c r="E268" s="4"/>
      <c r="F268" s="4"/>
      <c r="G268" s="4"/>
      <c r="H268" s="4"/>
      <c r="I268" s="4"/>
      <c r="J268" s="4"/>
      <c r="K268" s="4"/>
    </row>
    <row r="269" ht="15.75" customHeight="1">
      <c r="A269" s="4"/>
      <c r="B269" s="4"/>
      <c r="C269" s="4"/>
      <c r="D269" s="4"/>
      <c r="E269" s="4"/>
      <c r="F269" s="4"/>
      <c r="G269" s="4"/>
      <c r="H269" s="4"/>
      <c r="I269" s="4"/>
      <c r="J269" s="4"/>
      <c r="K269" s="4"/>
    </row>
    <row r="270" ht="15.75" customHeight="1">
      <c r="A270" s="4"/>
      <c r="B270" s="4"/>
      <c r="C270" s="4"/>
      <c r="D270" s="4"/>
      <c r="E270" s="4"/>
      <c r="F270" s="4"/>
      <c r="G270" s="4"/>
      <c r="H270" s="4"/>
      <c r="I270" s="4"/>
      <c r="J270" s="4"/>
      <c r="K270" s="4"/>
    </row>
    <row r="271" ht="15.75" customHeight="1">
      <c r="A271" s="4"/>
      <c r="B271" s="4"/>
      <c r="C271" s="4"/>
      <c r="D271" s="4"/>
      <c r="E271" s="4"/>
      <c r="F271" s="4"/>
      <c r="G271" s="4"/>
      <c r="H271" s="4"/>
      <c r="I271" s="4"/>
      <c r="J271" s="4"/>
      <c r="K271" s="4"/>
    </row>
    <row r="272" ht="15.75" customHeight="1">
      <c r="A272" s="4"/>
      <c r="B272" s="4"/>
      <c r="C272" s="4"/>
      <c r="D272" s="4"/>
      <c r="E272" s="4"/>
      <c r="F272" s="4"/>
      <c r="G272" s="4"/>
      <c r="H272" s="4"/>
      <c r="I272" s="4"/>
      <c r="J272" s="4"/>
      <c r="K272" s="4"/>
    </row>
    <row r="273" ht="15.75" customHeight="1">
      <c r="A273" s="4"/>
      <c r="B273" s="4"/>
      <c r="C273" s="4"/>
      <c r="D273" s="4"/>
      <c r="E273" s="4"/>
      <c r="F273" s="4"/>
      <c r="G273" s="4"/>
      <c r="H273" s="4"/>
      <c r="I273" s="4"/>
      <c r="J273" s="4"/>
      <c r="K273" s="4"/>
    </row>
    <row r="274" ht="15.75" customHeight="1">
      <c r="A274" s="4"/>
      <c r="B274" s="4"/>
      <c r="C274" s="4"/>
      <c r="D274" s="4"/>
      <c r="E274" s="4"/>
      <c r="F274" s="4"/>
      <c r="G274" s="4"/>
      <c r="H274" s="4"/>
      <c r="I274" s="4"/>
      <c r="J274" s="4"/>
      <c r="K274" s="4"/>
    </row>
    <row r="275" ht="15.75" customHeight="1">
      <c r="A275" s="4"/>
      <c r="B275" s="4"/>
      <c r="C275" s="4"/>
      <c r="D275" s="4"/>
      <c r="E275" s="4"/>
      <c r="F275" s="4"/>
      <c r="G275" s="4"/>
      <c r="H275" s="4"/>
      <c r="I275" s="4"/>
      <c r="J275" s="4"/>
      <c r="K275" s="4"/>
    </row>
    <row r="276" ht="15.75" customHeight="1">
      <c r="A276" s="4"/>
      <c r="B276" s="4"/>
      <c r="C276" s="4"/>
      <c r="D276" s="4"/>
      <c r="E276" s="4"/>
      <c r="F276" s="4"/>
      <c r="G276" s="4"/>
      <c r="H276" s="4"/>
      <c r="I276" s="4"/>
      <c r="J276" s="4"/>
      <c r="K276" s="4"/>
    </row>
    <row r="277" ht="15.75" customHeight="1">
      <c r="A277" s="4"/>
      <c r="B277" s="4"/>
      <c r="C277" s="4"/>
      <c r="D277" s="4"/>
      <c r="E277" s="4"/>
      <c r="F277" s="4"/>
      <c r="G277" s="4"/>
      <c r="H277" s="4"/>
      <c r="I277" s="4"/>
      <c r="J277" s="4"/>
      <c r="K277" s="4"/>
    </row>
    <row r="278" ht="15.75" customHeight="1">
      <c r="A278" s="4"/>
      <c r="B278" s="4"/>
      <c r="C278" s="4"/>
      <c r="D278" s="4"/>
      <c r="E278" s="4"/>
      <c r="F278" s="4"/>
      <c r="G278" s="4"/>
      <c r="H278" s="4"/>
      <c r="I278" s="4"/>
      <c r="J278" s="4"/>
      <c r="K278" s="4"/>
    </row>
    <row r="279" ht="15.75" customHeight="1">
      <c r="A279" s="4"/>
      <c r="B279" s="4"/>
      <c r="C279" s="4"/>
      <c r="D279" s="4"/>
      <c r="E279" s="4"/>
      <c r="F279" s="4"/>
      <c r="G279" s="4"/>
      <c r="H279" s="4"/>
      <c r="I279" s="4"/>
      <c r="J279" s="4"/>
      <c r="K279" s="4"/>
    </row>
    <row r="280" ht="15.75" customHeight="1">
      <c r="A280" s="4"/>
      <c r="B280" s="4"/>
      <c r="C280" s="4"/>
      <c r="D280" s="4"/>
      <c r="E280" s="4"/>
      <c r="F280" s="4"/>
      <c r="G280" s="4"/>
      <c r="H280" s="4"/>
      <c r="I280" s="4"/>
      <c r="J280" s="4"/>
      <c r="K280" s="4"/>
    </row>
    <row r="281" ht="15.75" customHeight="1">
      <c r="A281" s="4"/>
      <c r="B281" s="4"/>
      <c r="C281" s="4"/>
      <c r="D281" s="4"/>
      <c r="E281" s="4"/>
      <c r="F281" s="4"/>
      <c r="G281" s="4"/>
      <c r="H281" s="4"/>
      <c r="I281" s="4"/>
      <c r="J281" s="4"/>
      <c r="K281" s="4"/>
    </row>
    <row r="282" ht="15.75" customHeight="1">
      <c r="A282" s="4"/>
      <c r="B282" s="4"/>
      <c r="C282" s="4"/>
      <c r="D282" s="4"/>
      <c r="E282" s="4"/>
      <c r="F282" s="4"/>
      <c r="G282" s="4"/>
      <c r="H282" s="4"/>
      <c r="I282" s="4"/>
      <c r="J282" s="4"/>
      <c r="K282" s="4"/>
    </row>
    <row r="283" ht="15.75" customHeight="1">
      <c r="A283" s="4"/>
      <c r="B283" s="4"/>
      <c r="C283" s="4"/>
      <c r="D283" s="4"/>
      <c r="E283" s="4"/>
      <c r="F283" s="4"/>
      <c r="G283" s="4"/>
      <c r="H283" s="4"/>
      <c r="I283" s="4"/>
      <c r="J283" s="4"/>
      <c r="K283" s="4"/>
    </row>
    <row r="284" ht="15.75" customHeight="1">
      <c r="A284" s="4"/>
      <c r="B284" s="4"/>
      <c r="C284" s="4"/>
      <c r="D284" s="4"/>
      <c r="E284" s="4"/>
      <c r="F284" s="4"/>
      <c r="G284" s="4"/>
      <c r="H284" s="4"/>
      <c r="I284" s="4"/>
      <c r="J284" s="4"/>
      <c r="K284" s="4"/>
    </row>
    <row r="285" ht="15.75" customHeight="1">
      <c r="A285" s="4"/>
      <c r="B285" s="4"/>
      <c r="C285" s="4"/>
      <c r="D285" s="4"/>
      <c r="E285" s="4"/>
      <c r="F285" s="4"/>
      <c r="G285" s="4"/>
      <c r="H285" s="4"/>
      <c r="I285" s="4"/>
      <c r="J285" s="4"/>
      <c r="K285" s="4"/>
    </row>
    <row r="286" ht="15.75" customHeight="1">
      <c r="A286" s="4"/>
      <c r="B286" s="4"/>
      <c r="C286" s="4"/>
      <c r="D286" s="4"/>
      <c r="E286" s="4"/>
      <c r="F286" s="4"/>
      <c r="G286" s="4"/>
      <c r="H286" s="4"/>
      <c r="I286" s="4"/>
      <c r="J286" s="4"/>
      <c r="K286" s="4"/>
    </row>
    <row r="287" ht="15.75" customHeight="1">
      <c r="A287" s="4"/>
      <c r="B287" s="4"/>
      <c r="C287" s="4"/>
      <c r="D287" s="4"/>
      <c r="E287" s="4"/>
      <c r="F287" s="4"/>
      <c r="G287" s="4"/>
      <c r="H287" s="4"/>
      <c r="I287" s="4"/>
      <c r="J287" s="4"/>
      <c r="K287" s="4"/>
    </row>
    <row r="288" ht="15.75" customHeight="1">
      <c r="A288" s="4"/>
      <c r="B288" s="4"/>
      <c r="C288" s="4"/>
      <c r="D288" s="4"/>
      <c r="E288" s="4"/>
      <c r="F288" s="4"/>
      <c r="G288" s="4"/>
      <c r="H288" s="4"/>
      <c r="I288" s="4"/>
      <c r="J288" s="4"/>
      <c r="K288" s="4"/>
    </row>
    <row r="289" ht="15.75" customHeight="1">
      <c r="A289" s="4"/>
      <c r="B289" s="4"/>
      <c r="C289" s="4"/>
      <c r="D289" s="4"/>
      <c r="E289" s="4"/>
      <c r="F289" s="4"/>
      <c r="G289" s="4"/>
      <c r="H289" s="4"/>
      <c r="I289" s="4"/>
      <c r="J289" s="4"/>
      <c r="K289" s="4"/>
    </row>
    <row r="290" ht="15.75" customHeight="1">
      <c r="A290" s="4"/>
      <c r="B290" s="4"/>
      <c r="C290" s="4"/>
      <c r="D290" s="4"/>
      <c r="E290" s="4"/>
      <c r="F290" s="4"/>
      <c r="G290" s="4"/>
      <c r="H290" s="4"/>
      <c r="I290" s="4"/>
      <c r="J290" s="4"/>
      <c r="K290" s="4"/>
    </row>
    <row r="291" ht="15.75" customHeight="1">
      <c r="A291" s="4"/>
      <c r="B291" s="4"/>
      <c r="C291" s="4"/>
      <c r="D291" s="4"/>
      <c r="E291" s="4"/>
      <c r="F291" s="4"/>
      <c r="G291" s="4"/>
      <c r="H291" s="4"/>
      <c r="I291" s="4"/>
      <c r="J291" s="4"/>
      <c r="K291" s="4"/>
    </row>
    <row r="292" ht="15.75" customHeight="1">
      <c r="A292" s="4"/>
      <c r="B292" s="4"/>
      <c r="C292" s="4"/>
      <c r="D292" s="4"/>
      <c r="E292" s="4"/>
      <c r="F292" s="4"/>
      <c r="G292" s="4"/>
      <c r="H292" s="4"/>
      <c r="I292" s="4"/>
      <c r="J292" s="4"/>
      <c r="K292" s="4"/>
    </row>
    <row r="293" ht="15.75" customHeight="1">
      <c r="A293" s="4"/>
      <c r="B293" s="4"/>
      <c r="C293" s="4"/>
      <c r="D293" s="4"/>
      <c r="E293" s="4"/>
      <c r="F293" s="4"/>
      <c r="G293" s="4"/>
      <c r="H293" s="4"/>
      <c r="I293" s="4"/>
      <c r="J293" s="4"/>
      <c r="K293" s="4"/>
    </row>
    <row r="294" ht="15.75" customHeight="1">
      <c r="A294" s="4"/>
      <c r="B294" s="4"/>
      <c r="C294" s="4"/>
      <c r="D294" s="4"/>
      <c r="E294" s="4"/>
      <c r="F294" s="4"/>
      <c r="G294" s="4"/>
      <c r="H294" s="4"/>
      <c r="I294" s="4"/>
      <c r="J294" s="4"/>
      <c r="K294" s="4"/>
    </row>
    <row r="295" ht="15.75" customHeight="1">
      <c r="A295" s="4"/>
      <c r="B295" s="4"/>
      <c r="C295" s="4"/>
      <c r="D295" s="4"/>
      <c r="E295" s="4"/>
      <c r="F295" s="4"/>
      <c r="G295" s="4"/>
      <c r="H295" s="4"/>
      <c r="I295" s="4"/>
      <c r="J295" s="4"/>
      <c r="K295" s="4"/>
    </row>
    <row r="296" ht="15.75" customHeight="1">
      <c r="A296" s="4"/>
      <c r="B296" s="4"/>
      <c r="C296" s="4"/>
      <c r="D296" s="4"/>
      <c r="E296" s="4"/>
      <c r="F296" s="4"/>
      <c r="G296" s="4"/>
      <c r="H296" s="4"/>
      <c r="I296" s="4"/>
      <c r="J296" s="4"/>
      <c r="K296" s="4"/>
    </row>
    <row r="297" ht="15.75" customHeight="1">
      <c r="A297" s="4"/>
      <c r="B297" s="4"/>
      <c r="C297" s="4"/>
      <c r="D297" s="4"/>
      <c r="E297" s="4"/>
      <c r="F297" s="4"/>
      <c r="G297" s="4"/>
      <c r="H297" s="4"/>
      <c r="I297" s="4"/>
      <c r="J297" s="4"/>
      <c r="K297" s="4"/>
    </row>
    <row r="298" ht="15.75" customHeight="1">
      <c r="A298" s="4"/>
      <c r="B298" s="4"/>
      <c r="C298" s="4"/>
      <c r="D298" s="4"/>
      <c r="E298" s="4"/>
      <c r="F298" s="4"/>
      <c r="G298" s="4"/>
      <c r="H298" s="4"/>
      <c r="I298" s="4"/>
      <c r="J298" s="4"/>
      <c r="K298" s="4"/>
    </row>
    <row r="299" ht="15.75" customHeight="1">
      <c r="A299" s="4"/>
      <c r="B299" s="4"/>
      <c r="C299" s="4"/>
      <c r="D299" s="4"/>
      <c r="E299" s="4"/>
      <c r="F299" s="4"/>
      <c r="G299" s="4"/>
      <c r="H299" s="4"/>
      <c r="I299" s="4"/>
      <c r="J299" s="4"/>
      <c r="K299" s="4"/>
    </row>
    <row r="300" ht="15.75" customHeight="1">
      <c r="A300" s="4"/>
      <c r="B300" s="4"/>
      <c r="C300" s="4"/>
      <c r="D300" s="4"/>
      <c r="E300" s="4"/>
      <c r="F300" s="4"/>
      <c r="G300" s="4"/>
      <c r="H300" s="4"/>
      <c r="I300" s="4"/>
      <c r="J300" s="4"/>
      <c r="K300" s="4"/>
    </row>
    <row r="301" ht="15.75" customHeight="1">
      <c r="A301" s="4"/>
      <c r="B301" s="4"/>
      <c r="C301" s="4"/>
      <c r="D301" s="4"/>
      <c r="E301" s="4"/>
      <c r="F301" s="4"/>
      <c r="G301" s="4"/>
      <c r="H301" s="4"/>
      <c r="I301" s="4"/>
      <c r="J301" s="4"/>
      <c r="K301" s="4"/>
    </row>
    <row r="302" ht="15.75" customHeight="1">
      <c r="A302" s="4"/>
      <c r="B302" s="4"/>
      <c r="C302" s="4"/>
      <c r="D302" s="4"/>
      <c r="E302" s="4"/>
      <c r="F302" s="4"/>
      <c r="G302" s="4"/>
      <c r="H302" s="4"/>
      <c r="I302" s="4"/>
      <c r="J302" s="4"/>
      <c r="K302" s="4"/>
    </row>
    <row r="303" ht="15.75" customHeight="1">
      <c r="A303" s="4"/>
      <c r="B303" s="4"/>
      <c r="C303" s="4"/>
      <c r="D303" s="4"/>
      <c r="E303" s="4"/>
      <c r="F303" s="4"/>
      <c r="G303" s="4"/>
      <c r="H303" s="4"/>
      <c r="I303" s="4"/>
      <c r="J303" s="4"/>
      <c r="K303" s="4"/>
    </row>
    <row r="304" ht="15.75" customHeight="1">
      <c r="A304" s="4"/>
      <c r="B304" s="4"/>
      <c r="C304" s="4"/>
      <c r="D304" s="4"/>
      <c r="E304" s="4"/>
      <c r="F304" s="4"/>
      <c r="G304" s="4"/>
      <c r="H304" s="4"/>
      <c r="I304" s="4"/>
      <c r="J304" s="4"/>
      <c r="K304" s="4"/>
    </row>
    <row r="305" ht="15.75" customHeight="1">
      <c r="A305" s="4"/>
      <c r="B305" s="4"/>
      <c r="C305" s="4"/>
      <c r="D305" s="4"/>
      <c r="E305" s="4"/>
      <c r="F305" s="4"/>
      <c r="G305" s="4"/>
      <c r="H305" s="4"/>
      <c r="I305" s="4"/>
      <c r="J305" s="4"/>
      <c r="K305" s="4"/>
    </row>
    <row r="306" ht="15.75" customHeight="1">
      <c r="A306" s="4"/>
      <c r="B306" s="4"/>
      <c r="C306" s="4"/>
      <c r="D306" s="4"/>
      <c r="E306" s="4"/>
      <c r="F306" s="4"/>
      <c r="G306" s="4"/>
      <c r="H306" s="4"/>
      <c r="I306" s="4"/>
      <c r="J306" s="4"/>
      <c r="K306" s="4"/>
    </row>
    <row r="307" ht="15.75" customHeight="1">
      <c r="A307" s="4"/>
      <c r="B307" s="4"/>
      <c r="C307" s="4"/>
      <c r="D307" s="4"/>
      <c r="E307" s="4"/>
      <c r="F307" s="4"/>
      <c r="G307" s="4"/>
      <c r="H307" s="4"/>
      <c r="I307" s="4"/>
      <c r="J307" s="4"/>
      <c r="K307" s="4"/>
    </row>
    <row r="308" ht="15.75" customHeight="1">
      <c r="A308" s="4"/>
      <c r="B308" s="4"/>
      <c r="C308" s="4"/>
      <c r="D308" s="4"/>
      <c r="E308" s="4"/>
      <c r="F308" s="4"/>
      <c r="G308" s="4"/>
      <c r="H308" s="4"/>
      <c r="I308" s="4"/>
      <c r="J308" s="4"/>
      <c r="K308" s="4"/>
    </row>
    <row r="309" ht="15.75" customHeight="1">
      <c r="A309" s="4"/>
      <c r="B309" s="4"/>
      <c r="C309" s="4"/>
      <c r="D309" s="4"/>
      <c r="E309" s="4"/>
      <c r="F309" s="4"/>
      <c r="G309" s="4"/>
      <c r="H309" s="4"/>
      <c r="I309" s="4"/>
      <c r="J309" s="4"/>
      <c r="K309" s="4"/>
    </row>
    <row r="310" ht="15.75" customHeight="1">
      <c r="A310" s="4"/>
      <c r="B310" s="4"/>
      <c r="C310" s="4"/>
      <c r="D310" s="4"/>
      <c r="E310" s="4"/>
      <c r="F310" s="4"/>
      <c r="G310" s="4"/>
      <c r="H310" s="4"/>
      <c r="I310" s="4"/>
      <c r="J310" s="4"/>
      <c r="K310" s="4"/>
    </row>
    <row r="311" ht="15.75" customHeight="1">
      <c r="A311" s="4"/>
      <c r="B311" s="4"/>
      <c r="C311" s="4"/>
      <c r="D311" s="4"/>
      <c r="E311" s="4"/>
      <c r="F311" s="4"/>
      <c r="G311" s="4"/>
      <c r="H311" s="4"/>
      <c r="I311" s="4"/>
      <c r="J311" s="4"/>
      <c r="K311" s="4"/>
    </row>
    <row r="312" ht="15.75" customHeight="1">
      <c r="A312" s="4"/>
      <c r="B312" s="4"/>
      <c r="C312" s="4"/>
      <c r="D312" s="4"/>
      <c r="E312" s="4"/>
      <c r="F312" s="4"/>
      <c r="G312" s="4"/>
      <c r="H312" s="4"/>
      <c r="I312" s="4"/>
      <c r="J312" s="4"/>
      <c r="K312" s="4"/>
    </row>
    <row r="313" ht="15.75" customHeight="1">
      <c r="A313" s="4"/>
      <c r="B313" s="4"/>
      <c r="C313" s="4"/>
      <c r="D313" s="4"/>
      <c r="E313" s="4"/>
      <c r="F313" s="4"/>
      <c r="G313" s="4"/>
      <c r="H313" s="4"/>
      <c r="I313" s="4"/>
      <c r="J313" s="4"/>
      <c r="K313" s="4"/>
    </row>
    <row r="314" ht="15.75" customHeight="1">
      <c r="A314" s="4"/>
      <c r="B314" s="4"/>
      <c r="C314" s="4"/>
      <c r="D314" s="4"/>
      <c r="E314" s="4"/>
      <c r="F314" s="4"/>
      <c r="G314" s="4"/>
      <c r="H314" s="4"/>
      <c r="I314" s="4"/>
      <c r="J314" s="4"/>
      <c r="K314" s="4"/>
    </row>
    <row r="315" ht="15.75" customHeight="1">
      <c r="A315" s="4"/>
      <c r="B315" s="4"/>
      <c r="C315" s="4"/>
      <c r="D315" s="4"/>
      <c r="E315" s="4"/>
      <c r="F315" s="4"/>
      <c r="G315" s="4"/>
      <c r="H315" s="4"/>
      <c r="I315" s="4"/>
      <c r="J315" s="4"/>
      <c r="K315" s="4"/>
    </row>
    <row r="316" ht="15.75" customHeight="1">
      <c r="A316" s="4"/>
      <c r="B316" s="4"/>
      <c r="C316" s="4"/>
      <c r="D316" s="4"/>
      <c r="E316" s="4"/>
      <c r="F316" s="4"/>
      <c r="G316" s="4"/>
      <c r="H316" s="4"/>
      <c r="I316" s="4"/>
      <c r="J316" s="4"/>
      <c r="K316" s="4"/>
    </row>
    <row r="317" ht="15.75" customHeight="1">
      <c r="A317" s="4"/>
      <c r="B317" s="4"/>
      <c r="C317" s="4"/>
      <c r="D317" s="4"/>
      <c r="E317" s="4"/>
      <c r="F317" s="4"/>
      <c r="G317" s="4"/>
      <c r="H317" s="4"/>
      <c r="I317" s="4"/>
      <c r="J317" s="4"/>
      <c r="K317" s="4"/>
    </row>
    <row r="318" ht="15.75" customHeight="1">
      <c r="A318" s="4"/>
      <c r="B318" s="4"/>
      <c r="C318" s="4"/>
      <c r="D318" s="4"/>
      <c r="E318" s="4"/>
      <c r="F318" s="4"/>
      <c r="G318" s="4"/>
      <c r="H318" s="4"/>
      <c r="I318" s="4"/>
      <c r="J318" s="4"/>
      <c r="K318" s="4"/>
    </row>
    <row r="319" ht="15.75" customHeight="1">
      <c r="A319" s="4"/>
      <c r="B319" s="4"/>
      <c r="C319" s="4"/>
      <c r="D319" s="4"/>
      <c r="E319" s="4"/>
      <c r="F319" s="4"/>
      <c r="G319" s="4"/>
      <c r="H319" s="4"/>
      <c r="I319" s="4"/>
      <c r="J319" s="4"/>
      <c r="K319" s="4"/>
    </row>
    <row r="320" ht="15.75" customHeight="1">
      <c r="A320" s="4"/>
      <c r="B320" s="4"/>
      <c r="C320" s="4"/>
      <c r="D320" s="4"/>
      <c r="E320" s="4"/>
      <c r="F320" s="4"/>
      <c r="G320" s="4"/>
      <c r="H320" s="4"/>
      <c r="I320" s="4"/>
      <c r="J320" s="4"/>
      <c r="K320" s="4"/>
    </row>
    <row r="321" ht="15.75" customHeight="1">
      <c r="A321" s="4"/>
      <c r="B321" s="4"/>
      <c r="C321" s="4"/>
      <c r="D321" s="4"/>
      <c r="E321" s="4"/>
      <c r="F321" s="4"/>
      <c r="G321" s="4"/>
      <c r="H321" s="4"/>
      <c r="I321" s="4"/>
      <c r="J321" s="4"/>
      <c r="K321" s="4"/>
    </row>
    <row r="322" ht="15.75" customHeight="1">
      <c r="A322" s="4"/>
      <c r="B322" s="4"/>
      <c r="C322" s="4"/>
      <c r="D322" s="4"/>
      <c r="E322" s="4"/>
      <c r="F322" s="4"/>
      <c r="G322" s="4"/>
      <c r="H322" s="4"/>
      <c r="I322" s="4"/>
      <c r="J322" s="4"/>
      <c r="K322" s="4"/>
    </row>
    <row r="323" ht="15.75" customHeight="1">
      <c r="A323" s="4"/>
      <c r="B323" s="4"/>
      <c r="C323" s="4"/>
      <c r="D323" s="4"/>
      <c r="E323" s="4"/>
      <c r="F323" s="4"/>
      <c r="G323" s="4"/>
      <c r="H323" s="4"/>
      <c r="I323" s="4"/>
      <c r="J323" s="4"/>
      <c r="K323" s="4"/>
    </row>
    <row r="324" ht="15.75" customHeight="1">
      <c r="A324" s="4"/>
      <c r="B324" s="4"/>
      <c r="C324" s="4"/>
      <c r="D324" s="4"/>
      <c r="E324" s="4"/>
      <c r="F324" s="4"/>
      <c r="G324" s="4"/>
      <c r="H324" s="4"/>
      <c r="I324" s="4"/>
      <c r="J324" s="4"/>
      <c r="K324" s="4"/>
    </row>
    <row r="325" ht="15.75" customHeight="1">
      <c r="A325" s="4"/>
      <c r="B325" s="4"/>
      <c r="C325" s="4"/>
      <c r="D325" s="4"/>
      <c r="E325" s="4"/>
      <c r="F325" s="4"/>
      <c r="G325" s="4"/>
      <c r="H325" s="4"/>
      <c r="I325" s="4"/>
      <c r="J325" s="4"/>
      <c r="K325" s="4"/>
    </row>
    <row r="326" ht="15.75" customHeight="1">
      <c r="A326" s="4"/>
      <c r="B326" s="4"/>
      <c r="C326" s="4"/>
      <c r="D326" s="4"/>
      <c r="E326" s="4"/>
      <c r="F326" s="4"/>
      <c r="G326" s="4"/>
      <c r="H326" s="4"/>
      <c r="I326" s="4"/>
      <c r="J326" s="4"/>
      <c r="K326" s="4"/>
    </row>
    <row r="327" ht="15.75" customHeight="1">
      <c r="A327" s="4"/>
      <c r="B327" s="4"/>
      <c r="C327" s="4"/>
      <c r="D327" s="4"/>
      <c r="E327" s="4"/>
      <c r="F327" s="4"/>
      <c r="G327" s="4"/>
      <c r="H327" s="4"/>
      <c r="I327" s="4"/>
      <c r="J327" s="4"/>
      <c r="K327" s="4"/>
    </row>
    <row r="328" ht="15.75" customHeight="1">
      <c r="A328" s="4"/>
      <c r="B328" s="4"/>
      <c r="C328" s="4"/>
      <c r="D328" s="4"/>
      <c r="E328" s="4"/>
      <c r="F328" s="4"/>
      <c r="G328" s="4"/>
      <c r="H328" s="4"/>
      <c r="I328" s="4"/>
      <c r="J328" s="4"/>
      <c r="K328" s="4"/>
    </row>
    <row r="329" ht="15.75" customHeight="1">
      <c r="A329" s="4"/>
      <c r="B329" s="4"/>
      <c r="C329" s="4"/>
      <c r="D329" s="4"/>
      <c r="E329" s="4"/>
      <c r="F329" s="4"/>
      <c r="G329" s="4"/>
      <c r="H329" s="4"/>
      <c r="I329" s="4"/>
      <c r="J329" s="4"/>
      <c r="K329" s="4"/>
    </row>
    <row r="330" ht="15.75" customHeight="1">
      <c r="A330" s="4"/>
      <c r="B330" s="4"/>
      <c r="C330" s="4"/>
      <c r="D330" s="4"/>
      <c r="E330" s="4"/>
      <c r="F330" s="4"/>
      <c r="G330" s="4"/>
      <c r="H330" s="4"/>
      <c r="I330" s="4"/>
      <c r="J330" s="4"/>
      <c r="K330" s="4"/>
    </row>
    <row r="331" ht="15.75" customHeight="1">
      <c r="A331" s="4"/>
      <c r="B331" s="4"/>
      <c r="C331" s="4"/>
      <c r="D331" s="4"/>
      <c r="E331" s="4"/>
      <c r="F331" s="4"/>
      <c r="G331" s="4"/>
      <c r="H331" s="4"/>
      <c r="I331" s="4"/>
      <c r="J331" s="4"/>
      <c r="K331" s="4"/>
    </row>
    <row r="332" ht="15.75" customHeight="1">
      <c r="A332" s="4"/>
      <c r="B332" s="4"/>
      <c r="C332" s="4"/>
      <c r="D332" s="4"/>
      <c r="E332" s="4"/>
      <c r="F332" s="4"/>
      <c r="G332" s="4"/>
      <c r="H332" s="4"/>
      <c r="I332" s="4"/>
      <c r="J332" s="4"/>
      <c r="K332" s="4"/>
    </row>
    <row r="333" ht="15.75" customHeight="1">
      <c r="A333" s="4"/>
      <c r="B333" s="4"/>
      <c r="C333" s="4"/>
      <c r="D333" s="4"/>
      <c r="E333" s="4"/>
      <c r="F333" s="4"/>
      <c r="G333" s="4"/>
      <c r="H333" s="4"/>
      <c r="I333" s="4"/>
      <c r="J333" s="4"/>
      <c r="K333" s="4"/>
    </row>
    <row r="334" ht="15.75" customHeight="1">
      <c r="A334" s="4"/>
      <c r="B334" s="4"/>
      <c r="C334" s="4"/>
      <c r="D334" s="4"/>
      <c r="E334" s="4"/>
      <c r="F334" s="4"/>
      <c r="G334" s="4"/>
      <c r="H334" s="4"/>
      <c r="I334" s="4"/>
      <c r="J334" s="4"/>
      <c r="K334" s="4"/>
    </row>
    <row r="335" ht="15.75" customHeight="1">
      <c r="A335" s="4"/>
      <c r="B335" s="4"/>
      <c r="C335" s="4"/>
      <c r="D335" s="4"/>
      <c r="E335" s="4"/>
      <c r="F335" s="4"/>
      <c r="G335" s="4"/>
      <c r="H335" s="4"/>
      <c r="I335" s="4"/>
      <c r="J335" s="4"/>
      <c r="K335" s="4"/>
    </row>
    <row r="336" ht="15.75" customHeight="1">
      <c r="A336" s="4"/>
      <c r="B336" s="4"/>
      <c r="C336" s="4"/>
      <c r="D336" s="4"/>
      <c r="E336" s="4"/>
      <c r="F336" s="4"/>
      <c r="G336" s="4"/>
      <c r="H336" s="4"/>
      <c r="I336" s="4"/>
      <c r="J336" s="4"/>
      <c r="K336" s="4"/>
    </row>
    <row r="337" ht="15.75" customHeight="1">
      <c r="A337" s="4"/>
      <c r="B337" s="4"/>
      <c r="C337" s="4"/>
      <c r="D337" s="4"/>
      <c r="E337" s="4"/>
      <c r="F337" s="4"/>
      <c r="G337" s="4"/>
      <c r="H337" s="4"/>
      <c r="I337" s="4"/>
      <c r="J337" s="4"/>
      <c r="K337" s="4"/>
    </row>
    <row r="338" ht="15.75" customHeight="1">
      <c r="A338" s="4"/>
      <c r="B338" s="4"/>
      <c r="C338" s="4"/>
      <c r="D338" s="4"/>
      <c r="E338" s="4"/>
      <c r="F338" s="4"/>
      <c r="G338" s="4"/>
      <c r="H338" s="4"/>
      <c r="I338" s="4"/>
      <c r="J338" s="4"/>
      <c r="K338" s="4"/>
    </row>
    <row r="339" ht="15.75" customHeight="1">
      <c r="A339" s="4"/>
      <c r="B339" s="4"/>
      <c r="C339" s="4"/>
      <c r="D339" s="4"/>
      <c r="E339" s="4"/>
      <c r="F339" s="4"/>
      <c r="G339" s="4"/>
      <c r="H339" s="4"/>
      <c r="I339" s="4"/>
      <c r="J339" s="4"/>
      <c r="K339" s="4"/>
    </row>
    <row r="340" ht="15.75" customHeight="1">
      <c r="A340" s="4"/>
      <c r="B340" s="4"/>
      <c r="C340" s="4"/>
      <c r="D340" s="4"/>
      <c r="E340" s="4"/>
      <c r="F340" s="4"/>
      <c r="G340" s="4"/>
      <c r="H340" s="4"/>
      <c r="I340" s="4"/>
      <c r="J340" s="4"/>
      <c r="K340" s="4"/>
    </row>
    <row r="341" ht="15.75" customHeight="1">
      <c r="A341" s="4"/>
      <c r="B341" s="4"/>
      <c r="C341" s="4"/>
      <c r="D341" s="4"/>
      <c r="E341" s="4"/>
      <c r="F341" s="4"/>
      <c r="G341" s="4"/>
      <c r="H341" s="4"/>
      <c r="I341" s="4"/>
      <c r="J341" s="4"/>
      <c r="K341" s="4"/>
    </row>
    <row r="342" ht="15.75" customHeight="1">
      <c r="A342" s="4"/>
      <c r="B342" s="4"/>
      <c r="C342" s="4"/>
      <c r="D342" s="4"/>
      <c r="E342" s="4"/>
      <c r="F342" s="4"/>
      <c r="G342" s="4"/>
      <c r="H342" s="4"/>
      <c r="I342" s="4"/>
      <c r="J342" s="4"/>
      <c r="K342" s="4"/>
    </row>
    <row r="343" ht="15.75" customHeight="1">
      <c r="A343" s="4"/>
      <c r="B343" s="4"/>
      <c r="C343" s="4"/>
      <c r="D343" s="4"/>
      <c r="E343" s="4"/>
      <c r="F343" s="4"/>
      <c r="G343" s="4"/>
      <c r="H343" s="4"/>
      <c r="I343" s="4"/>
      <c r="J343" s="4"/>
      <c r="K343" s="4"/>
    </row>
    <row r="344" ht="15.75" customHeight="1">
      <c r="A344" s="4"/>
      <c r="B344" s="4"/>
      <c r="C344" s="4"/>
      <c r="D344" s="4"/>
      <c r="E344" s="4"/>
      <c r="F344" s="4"/>
      <c r="G344" s="4"/>
      <c r="H344" s="4"/>
      <c r="I344" s="4"/>
      <c r="J344" s="4"/>
      <c r="K344" s="4"/>
    </row>
    <row r="345" ht="15.75" customHeight="1">
      <c r="A345" s="4"/>
      <c r="B345" s="4"/>
      <c r="C345" s="4"/>
      <c r="D345" s="4"/>
      <c r="E345" s="4"/>
      <c r="F345" s="4"/>
      <c r="G345" s="4"/>
      <c r="H345" s="4"/>
      <c r="I345" s="4"/>
      <c r="J345" s="4"/>
      <c r="K345" s="4"/>
    </row>
    <row r="346" ht="15.75" customHeight="1">
      <c r="A346" s="4"/>
      <c r="B346" s="4"/>
      <c r="C346" s="4"/>
      <c r="D346" s="4"/>
      <c r="E346" s="4"/>
      <c r="F346" s="4"/>
      <c r="G346" s="4"/>
      <c r="H346" s="4"/>
      <c r="I346" s="4"/>
      <c r="J346" s="4"/>
      <c r="K346" s="4"/>
    </row>
    <row r="347" ht="15.75" customHeight="1">
      <c r="A347" s="4"/>
      <c r="B347" s="4"/>
      <c r="C347" s="4"/>
      <c r="D347" s="4"/>
      <c r="E347" s="4"/>
      <c r="F347" s="4"/>
      <c r="G347" s="4"/>
      <c r="H347" s="4"/>
      <c r="I347" s="4"/>
      <c r="J347" s="4"/>
      <c r="K347" s="4"/>
    </row>
    <row r="348" ht="15.75" customHeight="1">
      <c r="A348" s="4"/>
      <c r="B348" s="4"/>
      <c r="C348" s="4"/>
      <c r="D348" s="4"/>
      <c r="E348" s="4"/>
      <c r="F348" s="4"/>
      <c r="G348" s="4"/>
      <c r="H348" s="4"/>
      <c r="I348" s="4"/>
      <c r="J348" s="4"/>
      <c r="K348" s="4"/>
    </row>
    <row r="349" ht="15.75" customHeight="1">
      <c r="A349" s="4"/>
      <c r="B349" s="4"/>
      <c r="C349" s="4"/>
      <c r="D349" s="4"/>
      <c r="E349" s="4"/>
      <c r="F349" s="4"/>
      <c r="G349" s="4"/>
      <c r="H349" s="4"/>
      <c r="I349" s="4"/>
      <c r="J349" s="4"/>
      <c r="K349" s="4"/>
    </row>
    <row r="350" ht="15.75" customHeight="1">
      <c r="A350" s="4"/>
      <c r="B350" s="4"/>
      <c r="C350" s="4"/>
      <c r="D350" s="4"/>
      <c r="E350" s="4"/>
      <c r="F350" s="4"/>
      <c r="G350" s="4"/>
      <c r="H350" s="4"/>
      <c r="I350" s="4"/>
      <c r="J350" s="4"/>
      <c r="K350" s="4"/>
    </row>
    <row r="351" ht="15.75" customHeight="1">
      <c r="A351" s="4"/>
      <c r="B351" s="4"/>
      <c r="C351" s="4"/>
      <c r="D351" s="4"/>
      <c r="E351" s="4"/>
      <c r="F351" s="4"/>
      <c r="G351" s="4"/>
      <c r="H351" s="4"/>
      <c r="I351" s="4"/>
      <c r="J351" s="4"/>
      <c r="K351" s="4"/>
    </row>
    <row r="352" ht="15.75" customHeight="1">
      <c r="A352" s="4"/>
      <c r="B352" s="4"/>
      <c r="C352" s="4"/>
      <c r="D352" s="4"/>
      <c r="E352" s="4"/>
      <c r="F352" s="4"/>
      <c r="G352" s="4"/>
      <c r="H352" s="4"/>
      <c r="I352" s="4"/>
      <c r="J352" s="4"/>
      <c r="K352" s="4"/>
    </row>
    <row r="353" ht="15.75" customHeight="1">
      <c r="A353" s="4"/>
      <c r="B353" s="4"/>
      <c r="C353" s="4"/>
      <c r="D353" s="4"/>
      <c r="E353" s="4"/>
      <c r="F353" s="4"/>
      <c r="G353" s="4"/>
      <c r="H353" s="4"/>
      <c r="I353" s="4"/>
      <c r="J353" s="4"/>
      <c r="K353" s="4"/>
    </row>
    <row r="354" ht="15.75" customHeight="1">
      <c r="A354" s="4"/>
      <c r="B354" s="4"/>
      <c r="C354" s="4"/>
      <c r="D354" s="4"/>
      <c r="E354" s="4"/>
      <c r="F354" s="4"/>
      <c r="G354" s="4"/>
      <c r="H354" s="4"/>
      <c r="I354" s="4"/>
      <c r="J354" s="4"/>
      <c r="K354" s="4"/>
    </row>
    <row r="355" ht="15.75" customHeight="1">
      <c r="A355" s="4"/>
      <c r="B355" s="4"/>
      <c r="C355" s="4"/>
      <c r="D355" s="4"/>
      <c r="E355" s="4"/>
      <c r="F355" s="4"/>
      <c r="G355" s="4"/>
      <c r="H355" s="4"/>
      <c r="I355" s="4"/>
      <c r="J355" s="4"/>
      <c r="K355" s="4"/>
    </row>
    <row r="356" ht="15.75" customHeight="1">
      <c r="A356" s="4"/>
      <c r="B356" s="4"/>
      <c r="C356" s="4"/>
      <c r="D356" s="4"/>
      <c r="E356" s="4"/>
      <c r="F356" s="4"/>
      <c r="G356" s="4"/>
      <c r="H356" s="4"/>
      <c r="I356" s="4"/>
      <c r="J356" s="4"/>
      <c r="K356" s="4"/>
    </row>
    <row r="357" ht="15.75" customHeight="1">
      <c r="A357" s="4"/>
      <c r="B357" s="4"/>
      <c r="C357" s="4"/>
      <c r="D357" s="4"/>
      <c r="E357" s="4"/>
      <c r="F357" s="4"/>
      <c r="G357" s="4"/>
      <c r="H357" s="4"/>
      <c r="I357" s="4"/>
      <c r="J357" s="4"/>
      <c r="K357" s="4"/>
    </row>
    <row r="358" ht="15.75" customHeight="1">
      <c r="A358" s="4"/>
      <c r="B358" s="4"/>
      <c r="C358" s="4"/>
      <c r="D358" s="4"/>
      <c r="E358" s="4"/>
      <c r="F358" s="4"/>
      <c r="G358" s="4"/>
      <c r="H358" s="4"/>
      <c r="I358" s="4"/>
      <c r="J358" s="4"/>
      <c r="K358" s="4"/>
    </row>
    <row r="359" ht="15.75" customHeight="1">
      <c r="A359" s="4"/>
      <c r="B359" s="4"/>
      <c r="C359" s="4"/>
      <c r="D359" s="4"/>
      <c r="E359" s="4"/>
      <c r="F359" s="4"/>
      <c r="G359" s="4"/>
      <c r="H359" s="4"/>
      <c r="I359" s="4"/>
      <c r="J359" s="4"/>
      <c r="K359" s="4"/>
    </row>
    <row r="360" ht="15.75" customHeight="1">
      <c r="A360" s="4"/>
      <c r="B360" s="4"/>
      <c r="C360" s="4"/>
      <c r="D360" s="4"/>
      <c r="E360" s="4"/>
      <c r="F360" s="4"/>
      <c r="G360" s="4"/>
      <c r="H360" s="4"/>
      <c r="I360" s="4"/>
      <c r="J360" s="4"/>
      <c r="K360" s="4"/>
    </row>
    <row r="361" ht="15.75" customHeight="1">
      <c r="A361" s="4"/>
      <c r="B361" s="4"/>
      <c r="C361" s="4"/>
      <c r="D361" s="4"/>
      <c r="E361" s="4"/>
      <c r="F361" s="4"/>
      <c r="G361" s="4"/>
      <c r="H361" s="4"/>
      <c r="I361" s="4"/>
      <c r="J361" s="4"/>
      <c r="K361" s="4"/>
    </row>
    <row r="362" ht="15.75" customHeight="1">
      <c r="A362" s="4"/>
      <c r="B362" s="4"/>
      <c r="C362" s="4"/>
      <c r="D362" s="4"/>
      <c r="E362" s="4"/>
      <c r="F362" s="4"/>
      <c r="G362" s="4"/>
      <c r="H362" s="4"/>
      <c r="I362" s="4"/>
      <c r="J362" s="4"/>
      <c r="K362" s="4"/>
    </row>
    <row r="363" ht="15.75" customHeight="1">
      <c r="A363" s="4"/>
      <c r="B363" s="4"/>
      <c r="C363" s="4"/>
      <c r="D363" s="4"/>
      <c r="E363" s="4"/>
      <c r="F363" s="4"/>
      <c r="G363" s="4"/>
      <c r="H363" s="4"/>
      <c r="I363" s="4"/>
      <c r="J363" s="4"/>
      <c r="K363" s="4"/>
    </row>
    <row r="364" ht="15.75" customHeight="1">
      <c r="A364" s="4"/>
      <c r="B364" s="4"/>
      <c r="C364" s="4"/>
      <c r="D364" s="4"/>
      <c r="E364" s="4"/>
      <c r="F364" s="4"/>
      <c r="G364" s="4"/>
      <c r="H364" s="4"/>
      <c r="I364" s="4"/>
      <c r="J364" s="4"/>
      <c r="K364" s="4"/>
    </row>
    <row r="365" ht="15.75" customHeight="1">
      <c r="A365" s="4"/>
      <c r="B365" s="4"/>
      <c r="C365" s="4"/>
      <c r="D365" s="4"/>
      <c r="E365" s="4"/>
      <c r="F365" s="4"/>
      <c r="G365" s="4"/>
      <c r="H365" s="4"/>
      <c r="I365" s="4"/>
      <c r="J365" s="4"/>
      <c r="K365" s="4"/>
    </row>
    <row r="366" ht="15.75" customHeight="1">
      <c r="A366" s="4"/>
      <c r="B366" s="4"/>
      <c r="C366" s="4"/>
      <c r="D366" s="4"/>
      <c r="E366" s="4"/>
      <c r="F366" s="4"/>
      <c r="G366" s="4"/>
      <c r="H366" s="4"/>
      <c r="I366" s="4"/>
      <c r="J366" s="4"/>
      <c r="K366" s="4"/>
    </row>
    <row r="367" ht="15.75" customHeight="1">
      <c r="A367" s="4"/>
      <c r="B367" s="4"/>
      <c r="C367" s="4"/>
      <c r="D367" s="4"/>
      <c r="E367" s="4"/>
      <c r="F367" s="4"/>
      <c r="G367" s="4"/>
      <c r="H367" s="4"/>
      <c r="I367" s="4"/>
      <c r="J367" s="4"/>
      <c r="K367" s="4"/>
    </row>
    <row r="368" ht="15.75" customHeight="1">
      <c r="A368" s="4"/>
      <c r="B368" s="4"/>
      <c r="C368" s="4"/>
      <c r="D368" s="4"/>
      <c r="E368" s="4"/>
      <c r="F368" s="4"/>
      <c r="G368" s="4"/>
      <c r="H368" s="4"/>
      <c r="I368" s="4"/>
      <c r="J368" s="4"/>
      <c r="K368" s="4"/>
    </row>
    <row r="369" ht="15.75" customHeight="1">
      <c r="A369" s="4"/>
      <c r="B369" s="4"/>
      <c r="C369" s="4"/>
      <c r="D369" s="4"/>
      <c r="E369" s="4"/>
      <c r="F369" s="4"/>
      <c r="G369" s="4"/>
      <c r="H369" s="4"/>
      <c r="I369" s="4"/>
      <c r="J369" s="4"/>
      <c r="K369" s="4"/>
    </row>
    <row r="370" ht="15.75" customHeight="1">
      <c r="A370" s="4"/>
      <c r="B370" s="4"/>
      <c r="C370" s="4"/>
      <c r="D370" s="4"/>
      <c r="E370" s="4"/>
      <c r="F370" s="4"/>
      <c r="G370" s="4"/>
      <c r="H370" s="4"/>
      <c r="I370" s="4"/>
      <c r="J370" s="4"/>
      <c r="K370" s="4"/>
    </row>
    <row r="371" ht="15.75" customHeight="1">
      <c r="A371" s="4"/>
      <c r="B371" s="4"/>
      <c r="C371" s="4"/>
      <c r="D371" s="4"/>
      <c r="E371" s="4"/>
      <c r="F371" s="4"/>
      <c r="G371" s="4"/>
      <c r="H371" s="4"/>
      <c r="I371" s="4"/>
      <c r="J371" s="4"/>
      <c r="K371" s="4"/>
    </row>
    <row r="372" ht="15.75" customHeight="1">
      <c r="A372" s="4"/>
      <c r="B372" s="4"/>
      <c r="C372" s="4"/>
      <c r="D372" s="4"/>
      <c r="E372" s="4"/>
      <c r="F372" s="4"/>
      <c r="G372" s="4"/>
      <c r="H372" s="4"/>
      <c r="I372" s="4"/>
      <c r="J372" s="4"/>
      <c r="K372" s="4"/>
    </row>
    <row r="373" ht="15.75" customHeight="1">
      <c r="A373" s="4"/>
      <c r="B373" s="4"/>
      <c r="C373" s="4"/>
      <c r="D373" s="4"/>
      <c r="E373" s="4"/>
      <c r="F373" s="4"/>
      <c r="G373" s="4"/>
      <c r="H373" s="4"/>
      <c r="I373" s="4"/>
      <c r="J373" s="4"/>
      <c r="K373" s="4"/>
    </row>
    <row r="374" ht="15.75" customHeight="1">
      <c r="A374" s="4"/>
      <c r="B374" s="4"/>
      <c r="C374" s="4"/>
      <c r="D374" s="4"/>
      <c r="E374" s="4"/>
      <c r="F374" s="4"/>
      <c r="G374" s="4"/>
      <c r="H374" s="4"/>
      <c r="I374" s="4"/>
      <c r="J374" s="4"/>
      <c r="K374" s="4"/>
    </row>
    <row r="375" ht="15.75" customHeight="1">
      <c r="A375" s="4"/>
      <c r="B375" s="4"/>
      <c r="C375" s="4"/>
      <c r="D375" s="4"/>
      <c r="E375" s="4"/>
      <c r="F375" s="4"/>
      <c r="G375" s="4"/>
      <c r="H375" s="4"/>
      <c r="I375" s="4"/>
      <c r="J375" s="4"/>
      <c r="K375" s="4"/>
    </row>
    <row r="376" ht="15.75" customHeight="1">
      <c r="A376" s="4"/>
      <c r="B376" s="4"/>
      <c r="C376" s="4"/>
      <c r="D376" s="4"/>
      <c r="E376" s="4"/>
      <c r="F376" s="4"/>
      <c r="G376" s="4"/>
      <c r="H376" s="4"/>
      <c r="I376" s="4"/>
      <c r="J376" s="4"/>
      <c r="K376" s="4"/>
    </row>
    <row r="377" ht="15.75" customHeight="1">
      <c r="A377" s="4"/>
      <c r="B377" s="4"/>
      <c r="C377" s="4"/>
      <c r="D377" s="4"/>
      <c r="E377" s="4"/>
      <c r="F377" s="4"/>
      <c r="G377" s="4"/>
      <c r="H377" s="4"/>
      <c r="I377" s="4"/>
      <c r="J377" s="4"/>
      <c r="K377" s="4"/>
    </row>
    <row r="378" ht="15.75" customHeight="1">
      <c r="A378" s="4"/>
      <c r="B378" s="4"/>
      <c r="C378" s="4"/>
      <c r="D378" s="4"/>
      <c r="E378" s="4"/>
      <c r="F378" s="4"/>
      <c r="G378" s="4"/>
      <c r="H378" s="4"/>
      <c r="I378" s="4"/>
      <c r="J378" s="4"/>
      <c r="K378" s="4"/>
    </row>
    <row r="379" ht="15.75" customHeight="1">
      <c r="A379" s="4"/>
      <c r="B379" s="4"/>
      <c r="C379" s="4"/>
      <c r="D379" s="4"/>
      <c r="E379" s="4"/>
      <c r="F379" s="4"/>
      <c r="G379" s="4"/>
      <c r="H379" s="4"/>
      <c r="I379" s="4"/>
      <c r="J379" s="4"/>
      <c r="K379" s="4"/>
    </row>
    <row r="380" ht="15.75" customHeight="1">
      <c r="A380" s="4"/>
      <c r="B380" s="4"/>
      <c r="C380" s="4"/>
      <c r="D380" s="4"/>
      <c r="E380" s="4"/>
      <c r="F380" s="4"/>
      <c r="G380" s="4"/>
      <c r="H380" s="4"/>
      <c r="I380" s="4"/>
      <c r="J380" s="4"/>
      <c r="K380" s="4"/>
    </row>
    <row r="381" ht="15.75" customHeight="1">
      <c r="A381" s="4"/>
      <c r="B381" s="4"/>
      <c r="C381" s="4"/>
      <c r="D381" s="4"/>
      <c r="E381" s="4"/>
      <c r="F381" s="4"/>
      <c r="G381" s="4"/>
      <c r="H381" s="4"/>
      <c r="I381" s="4"/>
      <c r="J381" s="4"/>
      <c r="K381" s="4"/>
    </row>
    <row r="382" ht="15.75" customHeight="1">
      <c r="A382" s="4"/>
      <c r="B382" s="4"/>
      <c r="C382" s="4"/>
      <c r="D382" s="4"/>
      <c r="E382" s="4"/>
      <c r="F382" s="4"/>
      <c r="G382" s="4"/>
      <c r="H382" s="4"/>
      <c r="I382" s="4"/>
      <c r="J382" s="4"/>
      <c r="K382" s="4"/>
    </row>
    <row r="383" ht="15.75" customHeight="1">
      <c r="A383" s="4"/>
      <c r="B383" s="4"/>
      <c r="C383" s="4"/>
      <c r="D383" s="4"/>
      <c r="E383" s="4"/>
      <c r="F383" s="4"/>
      <c r="G383" s="4"/>
      <c r="H383" s="4"/>
      <c r="I383" s="4"/>
      <c r="J383" s="4"/>
      <c r="K383" s="4"/>
    </row>
    <row r="384" ht="15.75" customHeight="1">
      <c r="A384" s="4"/>
      <c r="B384" s="4"/>
      <c r="C384" s="4"/>
      <c r="D384" s="4"/>
      <c r="E384" s="4"/>
      <c r="F384" s="4"/>
      <c r="G384" s="4"/>
      <c r="H384" s="4"/>
      <c r="I384" s="4"/>
      <c r="J384" s="4"/>
      <c r="K384" s="4"/>
    </row>
    <row r="385" ht="15.75" customHeight="1">
      <c r="A385" s="4"/>
      <c r="B385" s="4"/>
      <c r="C385" s="4"/>
      <c r="D385" s="4"/>
      <c r="E385" s="4"/>
      <c r="F385" s="4"/>
      <c r="G385" s="4"/>
      <c r="H385" s="4"/>
      <c r="I385" s="4"/>
      <c r="J385" s="4"/>
      <c r="K385" s="4"/>
    </row>
    <row r="386" ht="15.75" customHeight="1">
      <c r="A386" s="4"/>
      <c r="B386" s="4"/>
      <c r="C386" s="4"/>
      <c r="D386" s="4"/>
      <c r="E386" s="4"/>
      <c r="F386" s="4"/>
      <c r="G386" s="4"/>
      <c r="H386" s="4"/>
      <c r="I386" s="4"/>
      <c r="J386" s="4"/>
      <c r="K386" s="4"/>
    </row>
    <row r="387" ht="15.75" customHeight="1">
      <c r="A387" s="4"/>
      <c r="B387" s="4"/>
      <c r="C387" s="4"/>
      <c r="D387" s="4"/>
      <c r="E387" s="4"/>
      <c r="F387" s="4"/>
      <c r="G387" s="4"/>
      <c r="H387" s="4"/>
      <c r="I387" s="4"/>
      <c r="J387" s="4"/>
      <c r="K387" s="4"/>
    </row>
    <row r="388" ht="15.75" customHeight="1">
      <c r="A388" s="4"/>
      <c r="B388" s="4"/>
      <c r="C388" s="4"/>
      <c r="D388" s="4"/>
      <c r="E388" s="4"/>
      <c r="F388" s="4"/>
      <c r="G388" s="4"/>
      <c r="H388" s="4"/>
      <c r="I388" s="4"/>
      <c r="J388" s="4"/>
      <c r="K388" s="4"/>
    </row>
    <row r="389" ht="15.75" customHeight="1">
      <c r="A389" s="4"/>
      <c r="B389" s="4"/>
      <c r="C389" s="4"/>
      <c r="D389" s="4"/>
      <c r="E389" s="4"/>
      <c r="F389" s="4"/>
      <c r="G389" s="4"/>
      <c r="H389" s="4"/>
      <c r="I389" s="4"/>
      <c r="J389" s="4"/>
      <c r="K389" s="4"/>
    </row>
    <row r="390" ht="15.75" customHeight="1">
      <c r="A390" s="4"/>
      <c r="B390" s="4"/>
      <c r="C390" s="4"/>
      <c r="D390" s="4"/>
      <c r="E390" s="4"/>
      <c r="F390" s="4"/>
      <c r="G390" s="4"/>
      <c r="H390" s="4"/>
      <c r="I390" s="4"/>
      <c r="J390" s="4"/>
      <c r="K390" s="4"/>
    </row>
    <row r="391" ht="15.75" customHeight="1">
      <c r="A391" s="4"/>
      <c r="B391" s="4"/>
      <c r="C391" s="4"/>
      <c r="D391" s="4"/>
      <c r="E391" s="4"/>
      <c r="F391" s="4"/>
      <c r="G391" s="4"/>
      <c r="H391" s="4"/>
      <c r="I391" s="4"/>
      <c r="J391" s="4"/>
      <c r="K391" s="4"/>
    </row>
    <row r="392" ht="15.75" customHeight="1">
      <c r="A392" s="4"/>
      <c r="B392" s="4"/>
      <c r="C392" s="4"/>
      <c r="D392" s="4"/>
      <c r="E392" s="4"/>
      <c r="F392" s="4"/>
      <c r="G392" s="4"/>
      <c r="H392" s="4"/>
      <c r="I392" s="4"/>
      <c r="J392" s="4"/>
      <c r="K392" s="4"/>
    </row>
    <row r="393" ht="15.75" customHeight="1">
      <c r="A393" s="4"/>
      <c r="B393" s="4"/>
      <c r="C393" s="4"/>
      <c r="D393" s="4"/>
      <c r="E393" s="4"/>
      <c r="F393" s="4"/>
      <c r="G393" s="4"/>
      <c r="H393" s="4"/>
      <c r="I393" s="4"/>
      <c r="J393" s="4"/>
      <c r="K393" s="4"/>
    </row>
    <row r="394" ht="15.75" customHeight="1">
      <c r="A394" s="4"/>
      <c r="B394" s="4"/>
      <c r="C394" s="4"/>
      <c r="D394" s="4"/>
      <c r="E394" s="4"/>
      <c r="F394" s="4"/>
      <c r="G394" s="4"/>
      <c r="H394" s="4"/>
      <c r="I394" s="4"/>
      <c r="J394" s="4"/>
      <c r="K394" s="4"/>
    </row>
    <row r="395" ht="15.75" customHeight="1">
      <c r="A395" s="4"/>
      <c r="B395" s="4"/>
      <c r="C395" s="4"/>
      <c r="D395" s="4"/>
      <c r="E395" s="4"/>
      <c r="F395" s="4"/>
      <c r="G395" s="4"/>
      <c r="H395" s="4"/>
      <c r="I395" s="4"/>
      <c r="J395" s="4"/>
      <c r="K395" s="4"/>
    </row>
    <row r="396" ht="15.75" customHeight="1">
      <c r="A396" s="4"/>
      <c r="B396" s="4"/>
      <c r="C396" s="4"/>
      <c r="D396" s="4"/>
      <c r="E396" s="4"/>
      <c r="F396" s="4"/>
      <c r="G396" s="4"/>
      <c r="H396" s="4"/>
      <c r="I396" s="4"/>
      <c r="J396" s="4"/>
      <c r="K396" s="4"/>
    </row>
    <row r="397" ht="15.75" customHeight="1">
      <c r="A397" s="4"/>
      <c r="B397" s="4"/>
      <c r="C397" s="4"/>
      <c r="D397" s="4"/>
      <c r="E397" s="4"/>
      <c r="F397" s="4"/>
      <c r="G397" s="4"/>
      <c r="H397" s="4"/>
      <c r="I397" s="4"/>
      <c r="J397" s="4"/>
      <c r="K397" s="4"/>
    </row>
    <row r="398" ht="15.75" customHeight="1">
      <c r="A398" s="4"/>
      <c r="B398" s="4"/>
      <c r="C398" s="4"/>
      <c r="D398" s="4"/>
      <c r="E398" s="4"/>
      <c r="F398" s="4"/>
      <c r="G398" s="4"/>
      <c r="H398" s="4"/>
      <c r="I398" s="4"/>
      <c r="J398" s="4"/>
      <c r="K398" s="4"/>
    </row>
    <row r="399" ht="15.75" customHeight="1">
      <c r="A399" s="4"/>
      <c r="B399" s="4"/>
      <c r="C399" s="4"/>
      <c r="D399" s="4"/>
      <c r="E399" s="4"/>
      <c r="F399" s="4"/>
      <c r="G399" s="4"/>
      <c r="H399" s="4"/>
      <c r="I399" s="4"/>
      <c r="J399" s="4"/>
      <c r="K399" s="4"/>
    </row>
    <row r="400" ht="15.75" customHeight="1">
      <c r="A400" s="4"/>
      <c r="B400" s="4"/>
      <c r="C400" s="4"/>
      <c r="D400" s="4"/>
      <c r="E400" s="4"/>
      <c r="F400" s="4"/>
      <c r="G400" s="4"/>
      <c r="H400" s="4"/>
      <c r="I400" s="4"/>
      <c r="J400" s="4"/>
      <c r="K400" s="4"/>
    </row>
    <row r="401" ht="15.75" customHeight="1">
      <c r="A401" s="4"/>
      <c r="B401" s="4"/>
      <c r="C401" s="4"/>
      <c r="D401" s="4"/>
      <c r="E401" s="4"/>
      <c r="F401" s="4"/>
      <c r="G401" s="4"/>
      <c r="H401" s="4"/>
      <c r="I401" s="4"/>
      <c r="J401" s="4"/>
      <c r="K401" s="4"/>
    </row>
    <row r="402" ht="15.75" customHeight="1">
      <c r="A402" s="4"/>
      <c r="B402" s="4"/>
      <c r="C402" s="4"/>
      <c r="D402" s="4"/>
      <c r="E402" s="4"/>
      <c r="F402" s="4"/>
      <c r="G402" s="4"/>
      <c r="H402" s="4"/>
      <c r="I402" s="4"/>
      <c r="J402" s="4"/>
      <c r="K402" s="4"/>
    </row>
    <row r="403" ht="15.75" customHeight="1">
      <c r="A403" s="4"/>
      <c r="B403" s="4"/>
      <c r="C403" s="4"/>
      <c r="D403" s="4"/>
      <c r="E403" s="4"/>
      <c r="F403" s="4"/>
      <c r="G403" s="4"/>
      <c r="H403" s="4"/>
      <c r="I403" s="4"/>
      <c r="J403" s="4"/>
      <c r="K403" s="4"/>
    </row>
    <row r="404" ht="15.75" customHeight="1">
      <c r="A404" s="4"/>
      <c r="B404" s="4"/>
      <c r="C404" s="4"/>
      <c r="D404" s="4"/>
      <c r="E404" s="4"/>
      <c r="F404" s="4"/>
      <c r="G404" s="4"/>
      <c r="H404" s="4"/>
      <c r="I404" s="4"/>
      <c r="J404" s="4"/>
      <c r="K404" s="4"/>
    </row>
    <row r="405" ht="15.75" customHeight="1">
      <c r="A405" s="4"/>
      <c r="B405" s="4"/>
      <c r="C405" s="4"/>
      <c r="D405" s="4"/>
      <c r="E405" s="4"/>
      <c r="F405" s="4"/>
      <c r="G405" s="4"/>
      <c r="H405" s="4"/>
      <c r="I405" s="4"/>
      <c r="J405" s="4"/>
      <c r="K405" s="4"/>
    </row>
    <row r="406" ht="15.75" customHeight="1">
      <c r="A406" s="4"/>
      <c r="B406" s="4"/>
      <c r="C406" s="4"/>
      <c r="D406" s="4"/>
      <c r="E406" s="4"/>
      <c r="F406" s="4"/>
      <c r="G406" s="4"/>
      <c r="H406" s="4"/>
      <c r="I406" s="4"/>
      <c r="J406" s="4"/>
      <c r="K406" s="4"/>
    </row>
    <row r="407" ht="15.75" customHeight="1">
      <c r="A407" s="4"/>
      <c r="B407" s="4"/>
      <c r="C407" s="4"/>
      <c r="D407" s="4"/>
      <c r="E407" s="4"/>
      <c r="F407" s="4"/>
      <c r="G407" s="4"/>
      <c r="H407" s="4"/>
      <c r="I407" s="4"/>
      <c r="J407" s="4"/>
      <c r="K407" s="4"/>
    </row>
    <row r="408" ht="15.75" customHeight="1">
      <c r="A408" s="4"/>
      <c r="B408" s="4"/>
      <c r="C408" s="4"/>
      <c r="D408" s="4"/>
      <c r="E408" s="4"/>
      <c r="F408" s="4"/>
      <c r="G408" s="4"/>
      <c r="H408" s="4"/>
      <c r="I408" s="4"/>
      <c r="J408" s="4"/>
      <c r="K408" s="4"/>
    </row>
    <row r="409" ht="15.75" customHeight="1">
      <c r="A409" s="4"/>
      <c r="B409" s="4"/>
      <c r="C409" s="4"/>
      <c r="D409" s="4"/>
      <c r="E409" s="4"/>
      <c r="F409" s="4"/>
      <c r="G409" s="4"/>
      <c r="H409" s="4"/>
      <c r="I409" s="4"/>
      <c r="J409" s="4"/>
      <c r="K409" s="4"/>
    </row>
    <row r="410" ht="15.75" customHeight="1">
      <c r="A410" s="4"/>
      <c r="B410" s="4"/>
      <c r="C410" s="4"/>
      <c r="D410" s="4"/>
      <c r="E410" s="4"/>
      <c r="F410" s="4"/>
      <c r="G410" s="4"/>
      <c r="H410" s="4"/>
      <c r="I410" s="4"/>
      <c r="J410" s="4"/>
      <c r="K410" s="4"/>
    </row>
    <row r="411" ht="15.75" customHeight="1">
      <c r="A411" s="4"/>
      <c r="B411" s="4"/>
      <c r="C411" s="4"/>
      <c r="D411" s="4"/>
      <c r="E411" s="4"/>
      <c r="F411" s="4"/>
      <c r="G411" s="4"/>
      <c r="H411" s="4"/>
      <c r="I411" s="4"/>
      <c r="J411" s="4"/>
      <c r="K411" s="4"/>
    </row>
    <row r="412" ht="15.75" customHeight="1">
      <c r="A412" s="4"/>
      <c r="B412" s="4"/>
      <c r="C412" s="4"/>
      <c r="D412" s="4"/>
      <c r="E412" s="4"/>
      <c r="F412" s="4"/>
      <c r="G412" s="4"/>
      <c r="H412" s="4"/>
      <c r="I412" s="4"/>
      <c r="J412" s="4"/>
      <c r="K412" s="4"/>
    </row>
    <row r="413" ht="15.75" customHeight="1">
      <c r="A413" s="4"/>
      <c r="B413" s="4"/>
      <c r="C413" s="4"/>
      <c r="D413" s="4"/>
      <c r="E413" s="4"/>
      <c r="F413" s="4"/>
      <c r="G413" s="4"/>
      <c r="H413" s="4"/>
      <c r="I413" s="4"/>
      <c r="J413" s="4"/>
      <c r="K413" s="4"/>
    </row>
    <row r="414" ht="15.75" customHeight="1">
      <c r="A414" s="4"/>
      <c r="B414" s="4"/>
      <c r="C414" s="4"/>
      <c r="D414" s="4"/>
      <c r="E414" s="4"/>
      <c r="F414" s="4"/>
      <c r="G414" s="4"/>
      <c r="H414" s="4"/>
      <c r="I414" s="4"/>
      <c r="J414" s="4"/>
      <c r="K414" s="4"/>
    </row>
    <row r="415" ht="15.75" customHeight="1">
      <c r="A415" s="4"/>
      <c r="B415" s="4"/>
      <c r="C415" s="4"/>
      <c r="D415" s="4"/>
      <c r="E415" s="4"/>
      <c r="F415" s="4"/>
      <c r="G415" s="4"/>
      <c r="H415" s="4"/>
      <c r="I415" s="4"/>
      <c r="J415" s="4"/>
      <c r="K415" s="4"/>
    </row>
    <row r="416" ht="15.75" customHeight="1">
      <c r="A416" s="4"/>
      <c r="B416" s="4"/>
      <c r="C416" s="4"/>
      <c r="D416" s="4"/>
      <c r="E416" s="4"/>
      <c r="F416" s="4"/>
      <c r="G416" s="4"/>
      <c r="H416" s="4"/>
      <c r="I416" s="4"/>
      <c r="J416" s="4"/>
      <c r="K416" s="4"/>
    </row>
    <row r="417" ht="15.75" customHeight="1">
      <c r="A417" s="4"/>
      <c r="B417" s="4"/>
      <c r="C417" s="4"/>
      <c r="D417" s="4"/>
      <c r="E417" s="4"/>
      <c r="F417" s="4"/>
      <c r="G417" s="4"/>
      <c r="H417" s="4"/>
      <c r="I417" s="4"/>
      <c r="J417" s="4"/>
      <c r="K417" s="4"/>
    </row>
    <row r="418" ht="15.75" customHeight="1">
      <c r="A418" s="4"/>
      <c r="B418" s="4"/>
      <c r="C418" s="4"/>
      <c r="D418" s="4"/>
      <c r="E418" s="4"/>
      <c r="F418" s="4"/>
      <c r="G418" s="4"/>
      <c r="H418" s="4"/>
      <c r="I418" s="4"/>
      <c r="J418" s="4"/>
      <c r="K418" s="4"/>
    </row>
    <row r="419" ht="15.75" customHeight="1">
      <c r="A419" s="4"/>
      <c r="B419" s="4"/>
      <c r="C419" s="4"/>
      <c r="D419" s="4"/>
      <c r="E419" s="4"/>
      <c r="F419" s="4"/>
      <c r="G419" s="4"/>
      <c r="H419" s="4"/>
      <c r="I419" s="4"/>
      <c r="J419" s="4"/>
      <c r="K419" s="4"/>
    </row>
    <row r="420" ht="15.75" customHeight="1">
      <c r="A420" s="4"/>
      <c r="B420" s="4"/>
      <c r="C420" s="4"/>
      <c r="D420" s="4"/>
      <c r="E420" s="4"/>
      <c r="F420" s="4"/>
      <c r="G420" s="4"/>
      <c r="H420" s="4"/>
      <c r="I420" s="4"/>
      <c r="J420" s="4"/>
      <c r="K420" s="4"/>
    </row>
    <row r="421" ht="15.75" customHeight="1">
      <c r="A421" s="4"/>
      <c r="B421" s="4"/>
      <c r="C421" s="4"/>
      <c r="D421" s="4"/>
      <c r="E421" s="4"/>
      <c r="F421" s="4"/>
      <c r="G421" s="4"/>
      <c r="H421" s="4"/>
      <c r="I421" s="4"/>
      <c r="J421" s="4"/>
      <c r="K421" s="4"/>
    </row>
    <row r="422" ht="15.75" customHeight="1">
      <c r="A422" s="4"/>
      <c r="B422" s="4"/>
      <c r="C422" s="4"/>
      <c r="D422" s="4"/>
      <c r="E422" s="4"/>
      <c r="F422" s="4"/>
      <c r="G422" s="4"/>
      <c r="H422" s="4"/>
      <c r="I422" s="4"/>
      <c r="J422" s="4"/>
      <c r="K422" s="4"/>
    </row>
    <row r="423" ht="15.75" customHeight="1">
      <c r="A423" s="4"/>
      <c r="B423" s="4"/>
      <c r="C423" s="4"/>
      <c r="D423" s="4"/>
      <c r="E423" s="4"/>
      <c r="F423" s="4"/>
      <c r="G423" s="4"/>
      <c r="H423" s="4"/>
      <c r="I423" s="4"/>
      <c r="J423" s="4"/>
      <c r="K423" s="4"/>
    </row>
    <row r="424" ht="15.75" customHeight="1">
      <c r="A424" s="4"/>
      <c r="B424" s="4"/>
      <c r="C424" s="4"/>
      <c r="D424" s="4"/>
      <c r="E424" s="4"/>
      <c r="F424" s="4"/>
      <c r="G424" s="4"/>
      <c r="H424" s="4"/>
      <c r="I424" s="4"/>
      <c r="J424" s="4"/>
      <c r="K424" s="4"/>
    </row>
    <row r="425" ht="15.75" customHeight="1">
      <c r="A425" s="4"/>
      <c r="B425" s="4"/>
      <c r="C425" s="4"/>
      <c r="D425" s="4"/>
      <c r="E425" s="4"/>
      <c r="F425" s="4"/>
      <c r="G425" s="4"/>
      <c r="H425" s="4"/>
      <c r="I425" s="4"/>
      <c r="J425" s="4"/>
      <c r="K425" s="4"/>
    </row>
    <row r="426" ht="15.75" customHeight="1">
      <c r="A426" s="4"/>
      <c r="B426" s="4"/>
      <c r="C426" s="4"/>
      <c r="D426" s="4"/>
      <c r="E426" s="4"/>
      <c r="F426" s="4"/>
      <c r="G426" s="4"/>
      <c r="H426" s="4"/>
      <c r="I426" s="4"/>
      <c r="J426" s="4"/>
      <c r="K426" s="4"/>
    </row>
    <row r="427" ht="15.75" customHeight="1">
      <c r="A427" s="4"/>
      <c r="B427" s="4"/>
      <c r="C427" s="4"/>
      <c r="D427" s="4"/>
      <c r="E427" s="4"/>
      <c r="F427" s="4"/>
      <c r="G427" s="4"/>
      <c r="H427" s="4"/>
      <c r="I427" s="4"/>
      <c r="J427" s="4"/>
      <c r="K427" s="4"/>
    </row>
    <row r="428" ht="15.75" customHeight="1">
      <c r="A428" s="4"/>
      <c r="B428" s="4"/>
      <c r="C428" s="4"/>
      <c r="D428" s="4"/>
      <c r="E428" s="4"/>
      <c r="F428" s="4"/>
      <c r="G428" s="4"/>
      <c r="H428" s="4"/>
      <c r="I428" s="4"/>
      <c r="J428" s="4"/>
      <c r="K428" s="4"/>
    </row>
    <row r="429" ht="15.75" customHeight="1">
      <c r="A429" s="4"/>
      <c r="B429" s="4"/>
      <c r="C429" s="4"/>
      <c r="D429" s="4"/>
      <c r="E429" s="4"/>
      <c r="F429" s="4"/>
      <c r="G429" s="4"/>
      <c r="H429" s="4"/>
      <c r="I429" s="4"/>
      <c r="J429" s="4"/>
      <c r="K429" s="4"/>
    </row>
    <row r="430" ht="15.75" customHeight="1">
      <c r="A430" s="4"/>
      <c r="B430" s="4"/>
      <c r="C430" s="4"/>
      <c r="D430" s="4"/>
      <c r="E430" s="4"/>
      <c r="F430" s="4"/>
      <c r="G430" s="4"/>
      <c r="H430" s="4"/>
      <c r="I430" s="4"/>
      <c r="J430" s="4"/>
      <c r="K430" s="4"/>
    </row>
    <row r="431" ht="15.75" customHeight="1">
      <c r="A431" s="4"/>
      <c r="B431" s="4"/>
      <c r="C431" s="4"/>
      <c r="D431" s="4"/>
      <c r="E431" s="4"/>
      <c r="F431" s="4"/>
      <c r="G431" s="4"/>
      <c r="H431" s="4"/>
      <c r="I431" s="4"/>
      <c r="J431" s="4"/>
      <c r="K431" s="4"/>
    </row>
    <row r="432" ht="15.75" customHeight="1">
      <c r="A432" s="4"/>
      <c r="B432" s="4"/>
      <c r="C432" s="4"/>
      <c r="D432" s="4"/>
      <c r="E432" s="4"/>
      <c r="F432" s="4"/>
      <c r="G432" s="4"/>
      <c r="H432" s="4"/>
      <c r="I432" s="4"/>
      <c r="J432" s="4"/>
      <c r="K432" s="4"/>
    </row>
    <row r="433" ht="15.75" customHeight="1">
      <c r="A433" s="4"/>
      <c r="B433" s="4"/>
      <c r="C433" s="4"/>
      <c r="D433" s="4"/>
      <c r="E433" s="4"/>
      <c r="F433" s="4"/>
      <c r="G433" s="4"/>
      <c r="H433" s="4"/>
      <c r="I433" s="4"/>
      <c r="J433" s="4"/>
      <c r="K433" s="4"/>
    </row>
    <row r="434" ht="15.75" customHeight="1">
      <c r="A434" s="4"/>
      <c r="B434" s="4"/>
      <c r="C434" s="4"/>
      <c r="D434" s="4"/>
      <c r="E434" s="4"/>
      <c r="F434" s="4"/>
      <c r="G434" s="4"/>
      <c r="H434" s="4"/>
      <c r="I434" s="4"/>
      <c r="J434" s="4"/>
      <c r="K434" s="4"/>
    </row>
    <row r="435" ht="15.75" customHeight="1">
      <c r="A435" s="4"/>
      <c r="B435" s="4"/>
      <c r="C435" s="4"/>
      <c r="D435" s="4"/>
      <c r="E435" s="4"/>
      <c r="F435" s="4"/>
      <c r="G435" s="4"/>
      <c r="H435" s="4"/>
      <c r="I435" s="4"/>
      <c r="J435" s="4"/>
      <c r="K435" s="4"/>
    </row>
    <row r="436" ht="15.75" customHeight="1">
      <c r="A436" s="4"/>
      <c r="B436" s="4"/>
      <c r="C436" s="4"/>
      <c r="D436" s="4"/>
      <c r="E436" s="4"/>
      <c r="F436" s="4"/>
      <c r="G436" s="4"/>
      <c r="H436" s="4"/>
      <c r="I436" s="4"/>
      <c r="J436" s="4"/>
      <c r="K436" s="4"/>
    </row>
    <row r="437" ht="15.75" customHeight="1">
      <c r="A437" s="4"/>
      <c r="B437" s="4"/>
      <c r="C437" s="4"/>
      <c r="D437" s="4"/>
      <c r="E437" s="4"/>
      <c r="F437" s="4"/>
      <c r="G437" s="4"/>
      <c r="H437" s="4"/>
      <c r="I437" s="4"/>
      <c r="J437" s="4"/>
      <c r="K437" s="4"/>
    </row>
    <row r="438" ht="15.75" customHeight="1">
      <c r="A438" s="4"/>
      <c r="B438" s="4"/>
      <c r="C438" s="4"/>
      <c r="D438" s="4"/>
      <c r="E438" s="4"/>
      <c r="F438" s="4"/>
      <c r="G438" s="4"/>
      <c r="H438" s="4"/>
      <c r="I438" s="4"/>
      <c r="J438" s="4"/>
      <c r="K438" s="4"/>
    </row>
    <row r="439" ht="15.75" customHeight="1">
      <c r="A439" s="4"/>
      <c r="B439" s="4"/>
      <c r="C439" s="4"/>
      <c r="D439" s="4"/>
      <c r="E439" s="4"/>
      <c r="F439" s="4"/>
      <c r="G439" s="4"/>
      <c r="H439" s="4"/>
      <c r="I439" s="4"/>
      <c r="J439" s="4"/>
      <c r="K439" s="4"/>
    </row>
    <row r="440" ht="15.75" customHeight="1">
      <c r="A440" s="4"/>
      <c r="B440" s="4"/>
      <c r="C440" s="4"/>
      <c r="D440" s="4"/>
      <c r="E440" s="4"/>
      <c r="F440" s="4"/>
      <c r="G440" s="4"/>
      <c r="H440" s="4"/>
      <c r="I440" s="4"/>
      <c r="J440" s="4"/>
      <c r="K440" s="4"/>
    </row>
    <row r="441" ht="15.75" customHeight="1">
      <c r="A441" s="4"/>
      <c r="B441" s="4"/>
      <c r="C441" s="4"/>
      <c r="D441" s="4"/>
      <c r="E441" s="4"/>
      <c r="F441" s="4"/>
      <c r="G441" s="4"/>
      <c r="H441" s="4"/>
      <c r="I441" s="4"/>
      <c r="J441" s="4"/>
      <c r="K441" s="4"/>
    </row>
    <row r="442" ht="15.75" customHeight="1">
      <c r="A442" s="4"/>
      <c r="B442" s="4"/>
      <c r="C442" s="4"/>
      <c r="D442" s="4"/>
      <c r="E442" s="4"/>
      <c r="F442" s="4"/>
      <c r="G442" s="4"/>
      <c r="H442" s="4"/>
      <c r="I442" s="4"/>
      <c r="J442" s="4"/>
      <c r="K442" s="4"/>
    </row>
    <row r="443" ht="15.75" customHeight="1">
      <c r="A443" s="4"/>
      <c r="B443" s="4"/>
      <c r="C443" s="4"/>
      <c r="D443" s="4"/>
      <c r="E443" s="4"/>
      <c r="F443" s="4"/>
      <c r="G443" s="4"/>
      <c r="H443" s="4"/>
      <c r="I443" s="4"/>
      <c r="J443" s="4"/>
      <c r="K443" s="4"/>
    </row>
    <row r="444" ht="15.75" customHeight="1">
      <c r="A444" s="4"/>
      <c r="B444" s="4"/>
      <c r="C444" s="4"/>
      <c r="D444" s="4"/>
      <c r="E444" s="4"/>
      <c r="F444" s="4"/>
      <c r="G444" s="4"/>
      <c r="H444" s="4"/>
      <c r="I444" s="4"/>
      <c r="J444" s="4"/>
      <c r="K444" s="4"/>
    </row>
    <row r="445" ht="15.75" customHeight="1">
      <c r="A445" s="4"/>
      <c r="B445" s="4"/>
      <c r="C445" s="4"/>
      <c r="D445" s="4"/>
      <c r="E445" s="4"/>
      <c r="F445" s="4"/>
      <c r="G445" s="4"/>
      <c r="H445" s="4"/>
      <c r="I445" s="4"/>
      <c r="J445" s="4"/>
      <c r="K445" s="4"/>
    </row>
    <row r="446" ht="15.75" customHeight="1">
      <c r="A446" s="4"/>
      <c r="B446" s="4"/>
      <c r="C446" s="4"/>
      <c r="D446" s="4"/>
      <c r="E446" s="4"/>
      <c r="F446" s="4"/>
      <c r="G446" s="4"/>
      <c r="H446" s="4"/>
      <c r="I446" s="4"/>
      <c r="J446" s="4"/>
      <c r="K446" s="4"/>
    </row>
    <row r="447" ht="15.75" customHeight="1">
      <c r="A447" s="4"/>
      <c r="B447" s="4"/>
      <c r="C447" s="4"/>
      <c r="D447" s="4"/>
      <c r="E447" s="4"/>
      <c r="F447" s="4"/>
      <c r="G447" s="4"/>
      <c r="H447" s="4"/>
      <c r="I447" s="4"/>
      <c r="J447" s="4"/>
      <c r="K447" s="4"/>
    </row>
    <row r="448" ht="15.75" customHeight="1">
      <c r="A448" s="4"/>
      <c r="B448" s="4"/>
      <c r="C448" s="4"/>
      <c r="D448" s="4"/>
      <c r="E448" s="4"/>
      <c r="F448" s="4"/>
      <c r="G448" s="4"/>
      <c r="H448" s="4"/>
      <c r="I448" s="4"/>
      <c r="J448" s="4"/>
      <c r="K448" s="4"/>
    </row>
    <row r="449" ht="15.75" customHeight="1">
      <c r="A449" s="4"/>
      <c r="B449" s="4"/>
      <c r="C449" s="4"/>
      <c r="D449" s="4"/>
      <c r="E449" s="4"/>
      <c r="F449" s="4"/>
      <c r="G449" s="4"/>
      <c r="H449" s="4"/>
      <c r="I449" s="4"/>
      <c r="J449" s="4"/>
      <c r="K449" s="4"/>
    </row>
    <row r="450" ht="15.75" customHeight="1">
      <c r="A450" s="4"/>
      <c r="B450" s="4"/>
      <c r="C450" s="4"/>
      <c r="D450" s="4"/>
      <c r="E450" s="4"/>
      <c r="F450" s="4"/>
      <c r="G450" s="4"/>
      <c r="H450" s="4"/>
      <c r="I450" s="4"/>
      <c r="J450" s="4"/>
      <c r="K450" s="4"/>
    </row>
    <row r="451" ht="15.75" customHeight="1">
      <c r="A451" s="4"/>
      <c r="B451" s="4"/>
      <c r="C451" s="4"/>
      <c r="D451" s="4"/>
      <c r="E451" s="4"/>
      <c r="F451" s="4"/>
      <c r="G451" s="4"/>
      <c r="H451" s="4"/>
      <c r="I451" s="4"/>
      <c r="J451" s="4"/>
      <c r="K451" s="4"/>
    </row>
    <row r="452" ht="15.75" customHeight="1">
      <c r="A452" s="4"/>
      <c r="B452" s="4"/>
      <c r="C452" s="4"/>
      <c r="D452" s="4"/>
      <c r="E452" s="4"/>
      <c r="F452" s="4"/>
      <c r="G452" s="4"/>
      <c r="H452" s="4"/>
      <c r="I452" s="4"/>
      <c r="J452" s="4"/>
      <c r="K452" s="4"/>
    </row>
    <row r="453" ht="15.75" customHeight="1">
      <c r="A453" s="4"/>
      <c r="B453" s="4"/>
      <c r="C453" s="4"/>
      <c r="D453" s="4"/>
      <c r="E453" s="4"/>
      <c r="F453" s="4"/>
      <c r="G453" s="4"/>
      <c r="H453" s="4"/>
      <c r="I453" s="4"/>
      <c r="J453" s="4"/>
      <c r="K453" s="4"/>
    </row>
    <row r="454" ht="15.75" customHeight="1">
      <c r="A454" s="4"/>
      <c r="B454" s="4"/>
      <c r="C454" s="4"/>
      <c r="D454" s="4"/>
      <c r="E454" s="4"/>
      <c r="F454" s="4"/>
      <c r="G454" s="4"/>
      <c r="H454" s="4"/>
      <c r="I454" s="4"/>
      <c r="J454" s="4"/>
      <c r="K454" s="4"/>
    </row>
    <row r="455" ht="15.75" customHeight="1">
      <c r="A455" s="4"/>
      <c r="B455" s="4"/>
      <c r="C455" s="4"/>
      <c r="D455" s="4"/>
      <c r="E455" s="4"/>
      <c r="F455" s="4"/>
      <c r="G455" s="4"/>
      <c r="H455" s="4"/>
      <c r="I455" s="4"/>
      <c r="J455" s="4"/>
      <c r="K455" s="4"/>
    </row>
    <row r="456" ht="15.75" customHeight="1">
      <c r="A456" s="4"/>
      <c r="B456" s="4"/>
      <c r="C456" s="4"/>
      <c r="D456" s="4"/>
      <c r="E456" s="4"/>
      <c r="F456" s="4"/>
      <c r="G456" s="4"/>
      <c r="H456" s="4"/>
      <c r="I456" s="4"/>
      <c r="J456" s="4"/>
      <c r="K456" s="4"/>
    </row>
    <row r="457" ht="15.75" customHeight="1">
      <c r="A457" s="4"/>
      <c r="B457" s="4"/>
      <c r="C457" s="4"/>
      <c r="D457" s="4"/>
      <c r="E457" s="4"/>
      <c r="F457" s="4"/>
      <c r="G457" s="4"/>
      <c r="H457" s="4"/>
      <c r="I457" s="4"/>
      <c r="J457" s="4"/>
      <c r="K457" s="4"/>
    </row>
    <row r="458" ht="15.75" customHeight="1">
      <c r="A458" s="4"/>
      <c r="B458" s="4"/>
      <c r="C458" s="4"/>
      <c r="D458" s="4"/>
      <c r="E458" s="4"/>
      <c r="F458" s="4"/>
      <c r="G458" s="4"/>
      <c r="H458" s="4"/>
      <c r="I458" s="4"/>
      <c r="J458" s="4"/>
      <c r="K458" s="4"/>
    </row>
    <row r="459" ht="15.75" customHeight="1">
      <c r="A459" s="4"/>
      <c r="B459" s="4"/>
      <c r="C459" s="4"/>
      <c r="D459" s="4"/>
      <c r="E459" s="4"/>
      <c r="F459" s="4"/>
      <c r="G459" s="4"/>
      <c r="H459" s="4"/>
      <c r="I459" s="4"/>
      <c r="J459" s="4"/>
      <c r="K459" s="4"/>
    </row>
    <row r="460" ht="15.75" customHeight="1">
      <c r="A460" s="4"/>
      <c r="B460" s="4"/>
      <c r="C460" s="4"/>
      <c r="D460" s="4"/>
      <c r="E460" s="4"/>
      <c r="F460" s="4"/>
      <c r="G460" s="4"/>
      <c r="H460" s="4"/>
      <c r="I460" s="4"/>
      <c r="J460" s="4"/>
      <c r="K460" s="4"/>
    </row>
    <row r="461" ht="15.75" customHeight="1">
      <c r="A461" s="4"/>
      <c r="B461" s="4"/>
      <c r="C461" s="4"/>
      <c r="D461" s="4"/>
      <c r="E461" s="4"/>
      <c r="F461" s="4"/>
      <c r="G461" s="4"/>
      <c r="H461" s="4"/>
      <c r="I461" s="4"/>
      <c r="J461" s="4"/>
      <c r="K461" s="4"/>
    </row>
    <row r="462" ht="15.75" customHeight="1">
      <c r="A462" s="4"/>
      <c r="B462" s="4"/>
      <c r="C462" s="4"/>
      <c r="D462" s="4"/>
      <c r="E462" s="4"/>
      <c r="F462" s="4"/>
      <c r="G462" s="4"/>
      <c r="H462" s="4"/>
      <c r="I462" s="4"/>
      <c r="J462" s="4"/>
      <c r="K462" s="4"/>
    </row>
    <row r="463" ht="15.75" customHeight="1">
      <c r="A463" s="4"/>
      <c r="B463" s="4"/>
      <c r="C463" s="4"/>
      <c r="D463" s="4"/>
      <c r="E463" s="4"/>
      <c r="F463" s="4"/>
      <c r="G463" s="4"/>
      <c r="H463" s="4"/>
      <c r="I463" s="4"/>
      <c r="J463" s="4"/>
      <c r="K463" s="4"/>
    </row>
    <row r="464" ht="15.75" customHeight="1">
      <c r="A464" s="4"/>
      <c r="B464" s="4"/>
      <c r="C464" s="4"/>
      <c r="D464" s="4"/>
      <c r="E464" s="4"/>
      <c r="F464" s="4"/>
      <c r="G464" s="4"/>
      <c r="H464" s="4"/>
      <c r="I464" s="4"/>
      <c r="J464" s="4"/>
      <c r="K464" s="4"/>
    </row>
    <row r="465" ht="15.75" customHeight="1">
      <c r="A465" s="4"/>
      <c r="B465" s="4"/>
      <c r="C465" s="4"/>
      <c r="D465" s="4"/>
      <c r="E465" s="4"/>
      <c r="F465" s="4"/>
      <c r="G465" s="4"/>
      <c r="H465" s="4"/>
      <c r="I465" s="4"/>
      <c r="J465" s="4"/>
      <c r="K465" s="4"/>
    </row>
    <row r="466" ht="15.75" customHeight="1">
      <c r="A466" s="4"/>
      <c r="B466" s="4"/>
      <c r="C466" s="4"/>
      <c r="D466" s="4"/>
      <c r="E466" s="4"/>
      <c r="F466" s="4"/>
      <c r="G466" s="4"/>
      <c r="H466" s="4"/>
      <c r="I466" s="4"/>
      <c r="J466" s="4"/>
      <c r="K466" s="4"/>
    </row>
    <row r="467" ht="15.75" customHeight="1">
      <c r="A467" s="4"/>
      <c r="B467" s="4"/>
      <c r="C467" s="4"/>
      <c r="D467" s="4"/>
      <c r="E467" s="4"/>
      <c r="F467" s="4"/>
      <c r="G467" s="4"/>
      <c r="H467" s="4"/>
      <c r="I467" s="4"/>
      <c r="J467" s="4"/>
      <c r="K467" s="4"/>
    </row>
    <row r="468" ht="15.75" customHeight="1">
      <c r="A468" s="4"/>
      <c r="B468" s="4"/>
      <c r="C468" s="4"/>
      <c r="D468" s="4"/>
      <c r="E468" s="4"/>
      <c r="F468" s="4"/>
      <c r="G468" s="4"/>
      <c r="H468" s="4"/>
      <c r="I468" s="4"/>
      <c r="J468" s="4"/>
      <c r="K468" s="4"/>
    </row>
    <row r="469" ht="15.75" customHeight="1">
      <c r="A469" s="4"/>
      <c r="B469" s="4"/>
      <c r="C469" s="4"/>
      <c r="D469" s="4"/>
      <c r="E469" s="4"/>
      <c r="F469" s="4"/>
      <c r="G469" s="4"/>
      <c r="H469" s="4"/>
      <c r="I469" s="4"/>
      <c r="J469" s="4"/>
      <c r="K469" s="4"/>
    </row>
    <row r="470" ht="15.75" customHeight="1">
      <c r="A470" s="4"/>
      <c r="B470" s="4"/>
      <c r="C470" s="4"/>
      <c r="D470" s="4"/>
      <c r="E470" s="4"/>
      <c r="F470" s="4"/>
      <c r="G470" s="4"/>
      <c r="H470" s="4"/>
      <c r="I470" s="4"/>
      <c r="J470" s="4"/>
      <c r="K470" s="4"/>
    </row>
    <row r="471" ht="15.75" customHeight="1">
      <c r="A471" s="4"/>
      <c r="B471" s="4"/>
      <c r="C471" s="4"/>
      <c r="D471" s="4"/>
      <c r="E471" s="4"/>
      <c r="F471" s="4"/>
      <c r="G471" s="4"/>
      <c r="H471" s="4"/>
      <c r="I471" s="4"/>
      <c r="J471" s="4"/>
      <c r="K471" s="4"/>
    </row>
    <row r="472" ht="15.75" customHeight="1">
      <c r="A472" s="4"/>
      <c r="B472" s="4"/>
      <c r="C472" s="4"/>
      <c r="D472" s="4"/>
      <c r="E472" s="4"/>
      <c r="F472" s="4"/>
      <c r="G472" s="4"/>
      <c r="H472" s="4"/>
      <c r="I472" s="4"/>
      <c r="J472" s="4"/>
      <c r="K472" s="4"/>
    </row>
    <row r="473" ht="15.75" customHeight="1">
      <c r="A473" s="4"/>
      <c r="B473" s="4"/>
      <c r="C473" s="4"/>
      <c r="D473" s="4"/>
      <c r="E473" s="4"/>
      <c r="F473" s="4"/>
      <c r="G473" s="4"/>
      <c r="H473" s="4"/>
      <c r="I473" s="4"/>
      <c r="J473" s="4"/>
      <c r="K473" s="4"/>
    </row>
    <row r="474" ht="15.75" customHeight="1">
      <c r="A474" s="4"/>
      <c r="B474" s="4"/>
      <c r="C474" s="4"/>
      <c r="D474" s="4"/>
      <c r="E474" s="4"/>
      <c r="F474" s="4"/>
      <c r="G474" s="4"/>
      <c r="H474" s="4"/>
      <c r="I474" s="4"/>
      <c r="J474" s="4"/>
      <c r="K474" s="4"/>
    </row>
    <row r="475" ht="15.75" customHeight="1">
      <c r="A475" s="4"/>
      <c r="B475" s="4"/>
      <c r="C475" s="4"/>
      <c r="D475" s="4"/>
      <c r="E475" s="4"/>
      <c r="F475" s="4"/>
      <c r="G475" s="4"/>
      <c r="H475" s="4"/>
      <c r="I475" s="4"/>
      <c r="J475" s="4"/>
      <c r="K475" s="4"/>
    </row>
    <row r="476" ht="15.75" customHeight="1">
      <c r="A476" s="4"/>
      <c r="B476" s="4"/>
      <c r="C476" s="4"/>
      <c r="D476" s="4"/>
      <c r="E476" s="4"/>
      <c r="F476" s="4"/>
      <c r="G476" s="4"/>
      <c r="H476" s="4"/>
      <c r="I476" s="4"/>
      <c r="J476" s="4"/>
      <c r="K476" s="4"/>
    </row>
    <row r="477" ht="15.75" customHeight="1">
      <c r="A477" s="4"/>
      <c r="B477" s="4"/>
      <c r="C477" s="4"/>
      <c r="D477" s="4"/>
      <c r="E477" s="4"/>
      <c r="F477" s="4"/>
      <c r="G477" s="4"/>
      <c r="H477" s="4"/>
      <c r="I477" s="4"/>
      <c r="J477" s="4"/>
      <c r="K477" s="4"/>
    </row>
    <row r="478" ht="15.75" customHeight="1">
      <c r="A478" s="4"/>
      <c r="B478" s="4"/>
      <c r="C478" s="4"/>
      <c r="D478" s="4"/>
      <c r="E478" s="4"/>
      <c r="F478" s="4"/>
      <c r="G478" s="4"/>
      <c r="H478" s="4"/>
      <c r="I478" s="4"/>
      <c r="J478" s="4"/>
      <c r="K478" s="4"/>
    </row>
    <row r="479" ht="15.75" customHeight="1">
      <c r="A479" s="4"/>
      <c r="B479" s="4"/>
      <c r="C479" s="4"/>
      <c r="D479" s="4"/>
      <c r="E479" s="4"/>
      <c r="F479" s="4"/>
      <c r="G479" s="4"/>
      <c r="H479" s="4"/>
      <c r="I479" s="4"/>
      <c r="J479" s="4"/>
      <c r="K479" s="4"/>
    </row>
    <row r="480" ht="15.75" customHeight="1">
      <c r="A480" s="4"/>
      <c r="B480" s="4"/>
      <c r="C480" s="4"/>
      <c r="D480" s="4"/>
      <c r="E480" s="4"/>
      <c r="F480" s="4"/>
      <c r="G480" s="4"/>
      <c r="H480" s="4"/>
      <c r="I480" s="4"/>
      <c r="J480" s="4"/>
      <c r="K480" s="4"/>
    </row>
    <row r="481" ht="15.75" customHeight="1">
      <c r="A481" s="4"/>
      <c r="B481" s="4"/>
      <c r="C481" s="4"/>
      <c r="D481" s="4"/>
      <c r="E481" s="4"/>
      <c r="F481" s="4"/>
      <c r="G481" s="4"/>
      <c r="H481" s="4"/>
      <c r="I481" s="4"/>
      <c r="J481" s="4"/>
      <c r="K481" s="4"/>
    </row>
    <row r="482" ht="15.75" customHeight="1">
      <c r="A482" s="4"/>
      <c r="B482" s="4"/>
      <c r="C482" s="4"/>
      <c r="D482" s="4"/>
      <c r="E482" s="4"/>
      <c r="F482" s="4"/>
      <c r="G482" s="4"/>
      <c r="H482" s="4"/>
      <c r="I482" s="4"/>
      <c r="J482" s="4"/>
      <c r="K482" s="4"/>
    </row>
    <row r="483" ht="15.75" customHeight="1">
      <c r="A483" s="4"/>
      <c r="B483" s="4"/>
      <c r="C483" s="4"/>
      <c r="D483" s="4"/>
      <c r="E483" s="4"/>
      <c r="F483" s="4"/>
      <c r="G483" s="4"/>
      <c r="H483" s="4"/>
      <c r="I483" s="4"/>
      <c r="J483" s="4"/>
      <c r="K483" s="4"/>
    </row>
    <row r="484" ht="15.75" customHeight="1">
      <c r="A484" s="4"/>
      <c r="B484" s="4"/>
      <c r="C484" s="4"/>
      <c r="D484" s="4"/>
      <c r="E484" s="4"/>
      <c r="F484" s="4"/>
      <c r="G484" s="4"/>
      <c r="H484" s="4"/>
      <c r="I484" s="4"/>
      <c r="J484" s="4"/>
      <c r="K484" s="4"/>
    </row>
    <row r="485" ht="15.75" customHeight="1">
      <c r="A485" s="4"/>
      <c r="B485" s="4"/>
      <c r="C485" s="4"/>
      <c r="D485" s="4"/>
      <c r="E485" s="4"/>
      <c r="F485" s="4"/>
      <c r="G485" s="4"/>
      <c r="H485" s="4"/>
      <c r="I485" s="4"/>
      <c r="J485" s="4"/>
      <c r="K485" s="4"/>
    </row>
    <row r="486" ht="15.75" customHeight="1">
      <c r="A486" s="4"/>
      <c r="B486" s="4"/>
      <c r="C486" s="4"/>
      <c r="D486" s="4"/>
      <c r="E486" s="4"/>
      <c r="F486" s="4"/>
      <c r="G486" s="4"/>
      <c r="H486" s="4"/>
      <c r="I486" s="4"/>
      <c r="J486" s="4"/>
      <c r="K486" s="4"/>
    </row>
    <row r="487" ht="15.75" customHeight="1">
      <c r="A487" s="4"/>
      <c r="B487" s="4"/>
      <c r="C487" s="4"/>
      <c r="D487" s="4"/>
      <c r="E487" s="4"/>
      <c r="F487" s="4"/>
      <c r="G487" s="4"/>
      <c r="H487" s="4"/>
      <c r="I487" s="4"/>
      <c r="J487" s="4"/>
      <c r="K487" s="4"/>
    </row>
    <row r="488" ht="15.75" customHeight="1">
      <c r="A488" s="4"/>
      <c r="B488" s="4"/>
      <c r="C488" s="4"/>
      <c r="D488" s="4"/>
      <c r="E488" s="4"/>
      <c r="F488" s="4"/>
      <c r="G488" s="4"/>
      <c r="H488" s="4"/>
      <c r="I488" s="4"/>
      <c r="J488" s="4"/>
      <c r="K488" s="4"/>
    </row>
    <row r="489" ht="15.75" customHeight="1">
      <c r="A489" s="4"/>
      <c r="B489" s="4"/>
      <c r="C489" s="4"/>
      <c r="D489" s="4"/>
      <c r="E489" s="4"/>
      <c r="F489" s="4"/>
      <c r="G489" s="4"/>
      <c r="H489" s="4"/>
      <c r="I489" s="4"/>
      <c r="J489" s="4"/>
      <c r="K489" s="4"/>
    </row>
    <row r="490" ht="15.75" customHeight="1">
      <c r="A490" s="4"/>
      <c r="B490" s="4"/>
      <c r="C490" s="4"/>
      <c r="D490" s="4"/>
      <c r="E490" s="4"/>
      <c r="F490" s="4"/>
      <c r="G490" s="4"/>
      <c r="H490" s="4"/>
      <c r="I490" s="4"/>
      <c r="J490" s="4"/>
      <c r="K490" s="4"/>
    </row>
    <row r="491" ht="15.75" customHeight="1">
      <c r="A491" s="4"/>
      <c r="B491" s="4"/>
      <c r="C491" s="4"/>
      <c r="D491" s="4"/>
      <c r="E491" s="4"/>
      <c r="F491" s="4"/>
      <c r="G491" s="4"/>
      <c r="H491" s="4"/>
      <c r="I491" s="4"/>
      <c r="J491" s="4"/>
      <c r="K491" s="4"/>
    </row>
    <row r="492" ht="15.75" customHeight="1">
      <c r="A492" s="4"/>
      <c r="B492" s="4"/>
      <c r="C492" s="4"/>
      <c r="D492" s="4"/>
      <c r="E492" s="4"/>
      <c r="F492" s="4"/>
      <c r="G492" s="4"/>
      <c r="H492" s="4"/>
      <c r="I492" s="4"/>
      <c r="J492" s="4"/>
      <c r="K492" s="4"/>
    </row>
    <row r="493" ht="15.75" customHeight="1">
      <c r="A493" s="4"/>
      <c r="B493" s="4"/>
      <c r="C493" s="4"/>
      <c r="D493" s="4"/>
      <c r="E493" s="4"/>
      <c r="F493" s="4"/>
      <c r="G493" s="4"/>
      <c r="H493" s="4"/>
      <c r="I493" s="4"/>
      <c r="J493" s="4"/>
      <c r="K493" s="4"/>
    </row>
    <row r="494" ht="15.75" customHeight="1">
      <c r="A494" s="4"/>
      <c r="B494" s="4"/>
      <c r="C494" s="4"/>
      <c r="D494" s="4"/>
      <c r="E494" s="4"/>
      <c r="F494" s="4"/>
      <c r="G494" s="4"/>
      <c r="H494" s="4"/>
      <c r="I494" s="4"/>
      <c r="J494" s="4"/>
      <c r="K494" s="4"/>
    </row>
    <row r="495" ht="15.75" customHeight="1">
      <c r="A495" s="4"/>
      <c r="B495" s="4"/>
      <c r="C495" s="4"/>
      <c r="D495" s="4"/>
      <c r="E495" s="4"/>
      <c r="F495" s="4"/>
      <c r="G495" s="4"/>
      <c r="H495" s="4"/>
      <c r="I495" s="4"/>
      <c r="J495" s="4"/>
      <c r="K495" s="4"/>
    </row>
    <row r="496" ht="15.75" customHeight="1">
      <c r="A496" s="4"/>
      <c r="B496" s="4"/>
      <c r="C496" s="4"/>
      <c r="D496" s="4"/>
      <c r="E496" s="4"/>
      <c r="F496" s="4"/>
      <c r="G496" s="4"/>
      <c r="H496" s="4"/>
      <c r="I496" s="4"/>
      <c r="J496" s="4"/>
      <c r="K496" s="4"/>
    </row>
    <row r="497" ht="15.75" customHeight="1">
      <c r="A497" s="4"/>
      <c r="B497" s="4"/>
      <c r="C497" s="4"/>
      <c r="D497" s="4"/>
      <c r="E497" s="4"/>
      <c r="F497" s="4"/>
      <c r="G497" s="4"/>
      <c r="H497" s="4"/>
      <c r="I497" s="4"/>
      <c r="J497" s="4"/>
      <c r="K497" s="4"/>
    </row>
    <row r="498" ht="15.75" customHeight="1">
      <c r="A498" s="4"/>
      <c r="B498" s="4"/>
      <c r="C498" s="4"/>
      <c r="D498" s="4"/>
      <c r="E498" s="4"/>
      <c r="F498" s="4"/>
      <c r="G498" s="4"/>
      <c r="H498" s="4"/>
      <c r="I498" s="4"/>
      <c r="J498" s="4"/>
      <c r="K498" s="4"/>
    </row>
    <row r="499" ht="15.75" customHeight="1">
      <c r="A499" s="4"/>
      <c r="B499" s="4"/>
      <c r="C499" s="4"/>
      <c r="D499" s="4"/>
      <c r="E499" s="4"/>
      <c r="F499" s="4"/>
      <c r="G499" s="4"/>
      <c r="H499" s="4"/>
      <c r="I499" s="4"/>
      <c r="J499" s="4"/>
      <c r="K499" s="4"/>
    </row>
    <row r="500" ht="15.75" customHeight="1">
      <c r="A500" s="4"/>
      <c r="B500" s="4"/>
      <c r="C500" s="4"/>
      <c r="D500" s="4"/>
      <c r="E500" s="4"/>
      <c r="F500" s="4"/>
      <c r="G500" s="4"/>
      <c r="H500" s="4"/>
      <c r="I500" s="4"/>
      <c r="J500" s="4"/>
      <c r="K500" s="4"/>
    </row>
    <row r="501" ht="15.75" customHeight="1">
      <c r="A501" s="4"/>
      <c r="B501" s="4"/>
      <c r="C501" s="4"/>
      <c r="D501" s="4"/>
      <c r="E501" s="4"/>
      <c r="F501" s="4"/>
      <c r="G501" s="4"/>
      <c r="H501" s="4"/>
      <c r="I501" s="4"/>
      <c r="J501" s="4"/>
      <c r="K501" s="4"/>
    </row>
    <row r="502" ht="15.75" customHeight="1">
      <c r="A502" s="4"/>
      <c r="B502" s="4"/>
      <c r="C502" s="4"/>
      <c r="D502" s="4"/>
      <c r="E502" s="4"/>
      <c r="F502" s="4"/>
      <c r="G502" s="4"/>
      <c r="H502" s="4"/>
      <c r="I502" s="4"/>
      <c r="J502" s="4"/>
      <c r="K502" s="4"/>
    </row>
    <row r="503" ht="15.75" customHeight="1">
      <c r="A503" s="4"/>
      <c r="B503" s="4"/>
      <c r="C503" s="4"/>
      <c r="D503" s="4"/>
      <c r="E503" s="4"/>
      <c r="F503" s="4"/>
      <c r="G503" s="4"/>
      <c r="H503" s="4"/>
      <c r="I503" s="4"/>
      <c r="J503" s="4"/>
      <c r="K503" s="4"/>
    </row>
    <row r="504" ht="15.75" customHeight="1">
      <c r="A504" s="4"/>
      <c r="B504" s="4"/>
      <c r="C504" s="4"/>
      <c r="D504" s="4"/>
      <c r="E504" s="4"/>
      <c r="F504" s="4"/>
      <c r="G504" s="4"/>
      <c r="H504" s="4"/>
      <c r="I504" s="4"/>
      <c r="J504" s="4"/>
      <c r="K504" s="4"/>
    </row>
    <row r="505" ht="15.75" customHeight="1">
      <c r="A505" s="4"/>
      <c r="B505" s="4"/>
      <c r="C505" s="4"/>
      <c r="D505" s="4"/>
      <c r="E505" s="4"/>
      <c r="F505" s="4"/>
      <c r="G505" s="4"/>
      <c r="H505" s="4"/>
      <c r="I505" s="4"/>
      <c r="J505" s="4"/>
      <c r="K505" s="4"/>
    </row>
    <row r="506" ht="15.75" customHeight="1">
      <c r="A506" s="4"/>
      <c r="B506" s="4"/>
      <c r="C506" s="4"/>
      <c r="D506" s="4"/>
      <c r="E506" s="4"/>
      <c r="F506" s="4"/>
      <c r="G506" s="4"/>
      <c r="H506" s="4"/>
      <c r="I506" s="4"/>
      <c r="J506" s="4"/>
      <c r="K506" s="4"/>
    </row>
    <row r="507" ht="15.75" customHeight="1">
      <c r="A507" s="4"/>
      <c r="B507" s="4"/>
      <c r="C507" s="4"/>
      <c r="D507" s="4"/>
      <c r="E507" s="4"/>
      <c r="F507" s="4"/>
      <c r="G507" s="4"/>
      <c r="H507" s="4"/>
      <c r="I507" s="4"/>
      <c r="J507" s="4"/>
      <c r="K507" s="4"/>
    </row>
    <row r="508" ht="15.75" customHeight="1">
      <c r="A508" s="4"/>
      <c r="B508" s="4"/>
      <c r="C508" s="4"/>
      <c r="D508" s="4"/>
      <c r="E508" s="4"/>
      <c r="F508" s="4"/>
      <c r="G508" s="4"/>
      <c r="H508" s="4"/>
      <c r="I508" s="4"/>
      <c r="J508" s="4"/>
      <c r="K508" s="4"/>
    </row>
    <row r="509" ht="15.75" customHeight="1">
      <c r="A509" s="4"/>
      <c r="B509" s="4"/>
      <c r="C509" s="4"/>
      <c r="D509" s="4"/>
      <c r="E509" s="4"/>
      <c r="F509" s="4"/>
      <c r="G509" s="4"/>
      <c r="H509" s="4"/>
      <c r="I509" s="4"/>
      <c r="J509" s="4"/>
      <c r="K509" s="4"/>
    </row>
    <row r="510" ht="15.75" customHeight="1">
      <c r="A510" s="4"/>
      <c r="B510" s="4"/>
      <c r="C510" s="4"/>
      <c r="D510" s="4"/>
      <c r="E510" s="4"/>
      <c r="F510" s="4"/>
      <c r="G510" s="4"/>
      <c r="H510" s="4"/>
      <c r="I510" s="4"/>
      <c r="J510" s="4"/>
      <c r="K510" s="4"/>
    </row>
    <row r="511" ht="15.75" customHeight="1">
      <c r="A511" s="4"/>
      <c r="B511" s="4"/>
      <c r="C511" s="4"/>
      <c r="D511" s="4"/>
      <c r="E511" s="4"/>
      <c r="F511" s="4"/>
      <c r="G511" s="4"/>
      <c r="H511" s="4"/>
      <c r="I511" s="4"/>
      <c r="J511" s="4"/>
      <c r="K511" s="4"/>
    </row>
    <row r="512" ht="15.75" customHeight="1">
      <c r="A512" s="4"/>
      <c r="B512" s="4"/>
      <c r="C512" s="4"/>
      <c r="D512" s="4"/>
      <c r="E512" s="4"/>
      <c r="F512" s="4"/>
      <c r="G512" s="4"/>
      <c r="H512" s="4"/>
      <c r="I512" s="4"/>
      <c r="J512" s="4"/>
      <c r="K512" s="4"/>
    </row>
    <row r="513" ht="15.75" customHeight="1">
      <c r="A513" s="4"/>
      <c r="B513" s="4"/>
      <c r="C513" s="4"/>
      <c r="D513" s="4"/>
      <c r="E513" s="4"/>
      <c r="F513" s="4"/>
      <c r="G513" s="4"/>
      <c r="H513" s="4"/>
      <c r="I513" s="4"/>
      <c r="J513" s="4"/>
      <c r="K513" s="4"/>
    </row>
    <row r="514" ht="15.75" customHeight="1">
      <c r="A514" s="4"/>
      <c r="B514" s="4"/>
      <c r="C514" s="4"/>
      <c r="D514" s="4"/>
      <c r="E514" s="4"/>
      <c r="F514" s="4"/>
      <c r="G514" s="4"/>
      <c r="H514" s="4"/>
      <c r="I514" s="4"/>
      <c r="J514" s="4"/>
      <c r="K514" s="4"/>
    </row>
    <row r="515" ht="15.75" customHeight="1">
      <c r="A515" s="4"/>
      <c r="B515" s="4"/>
      <c r="C515" s="4"/>
      <c r="D515" s="4"/>
      <c r="E515" s="4"/>
      <c r="F515" s="4"/>
      <c r="G515" s="4"/>
      <c r="H515" s="4"/>
      <c r="I515" s="4"/>
      <c r="J515" s="4"/>
      <c r="K515" s="4"/>
    </row>
    <row r="516" ht="15.75" customHeight="1">
      <c r="A516" s="4"/>
      <c r="B516" s="4"/>
      <c r="C516" s="4"/>
      <c r="D516" s="4"/>
      <c r="E516" s="4"/>
      <c r="F516" s="4"/>
      <c r="G516" s="4"/>
      <c r="H516" s="4"/>
      <c r="I516" s="4"/>
      <c r="J516" s="4"/>
      <c r="K516" s="4"/>
    </row>
    <row r="517" ht="15.75" customHeight="1">
      <c r="A517" s="4"/>
      <c r="B517" s="4"/>
      <c r="C517" s="4"/>
      <c r="D517" s="4"/>
      <c r="E517" s="4"/>
      <c r="F517" s="4"/>
      <c r="G517" s="4"/>
      <c r="H517" s="4"/>
      <c r="I517" s="4"/>
      <c r="J517" s="4"/>
      <c r="K517" s="4"/>
    </row>
    <row r="518" ht="15.75" customHeight="1">
      <c r="A518" s="4"/>
      <c r="B518" s="4"/>
      <c r="C518" s="4"/>
      <c r="D518" s="4"/>
      <c r="E518" s="4"/>
      <c r="F518" s="4"/>
      <c r="G518" s="4"/>
      <c r="H518" s="4"/>
      <c r="I518" s="4"/>
      <c r="J518" s="4"/>
      <c r="K518" s="4"/>
    </row>
    <row r="519" ht="15.75" customHeight="1">
      <c r="A519" s="4"/>
      <c r="B519" s="4"/>
      <c r="C519" s="4"/>
      <c r="D519" s="4"/>
      <c r="E519" s="4"/>
      <c r="F519" s="4"/>
      <c r="G519" s="4"/>
      <c r="H519" s="4"/>
      <c r="I519" s="4"/>
      <c r="J519" s="4"/>
      <c r="K519" s="4"/>
    </row>
    <row r="520" ht="15.75" customHeight="1">
      <c r="A520" s="4"/>
      <c r="B520" s="4"/>
      <c r="C520" s="4"/>
      <c r="D520" s="4"/>
      <c r="E520" s="4"/>
      <c r="F520" s="4"/>
      <c r="G520" s="4"/>
      <c r="H520" s="4"/>
      <c r="I520" s="4"/>
      <c r="J520" s="4"/>
      <c r="K520" s="4"/>
    </row>
    <row r="521" ht="15.75" customHeight="1">
      <c r="A521" s="4"/>
      <c r="B521" s="4"/>
      <c r="C521" s="4"/>
      <c r="D521" s="4"/>
      <c r="E521" s="4"/>
      <c r="F521" s="4"/>
      <c r="G521" s="4"/>
      <c r="H521" s="4"/>
      <c r="I521" s="4"/>
      <c r="J521" s="4"/>
      <c r="K521" s="4"/>
    </row>
    <row r="522" ht="15.75" customHeight="1">
      <c r="A522" s="4"/>
      <c r="B522" s="4"/>
      <c r="C522" s="4"/>
      <c r="D522" s="4"/>
      <c r="E522" s="4"/>
      <c r="F522" s="4"/>
      <c r="G522" s="4"/>
      <c r="H522" s="4"/>
      <c r="I522" s="4"/>
      <c r="J522" s="4"/>
      <c r="K522" s="4"/>
    </row>
    <row r="523" ht="15.75" customHeight="1">
      <c r="A523" s="4"/>
      <c r="B523" s="4"/>
      <c r="C523" s="4"/>
      <c r="D523" s="4"/>
      <c r="E523" s="4"/>
      <c r="F523" s="4"/>
      <c r="G523" s="4"/>
      <c r="H523" s="4"/>
      <c r="I523" s="4"/>
      <c r="J523" s="4"/>
      <c r="K523" s="4"/>
    </row>
    <row r="524" ht="15.75" customHeight="1">
      <c r="A524" s="4"/>
      <c r="B524" s="4"/>
      <c r="C524" s="4"/>
      <c r="D524" s="4"/>
      <c r="E524" s="4"/>
      <c r="F524" s="4"/>
      <c r="G524" s="4"/>
      <c r="H524" s="4"/>
      <c r="I524" s="4"/>
      <c r="J524" s="4"/>
      <c r="K524" s="4"/>
    </row>
    <row r="525" ht="15.75" customHeight="1">
      <c r="A525" s="4"/>
      <c r="B525" s="4"/>
      <c r="C525" s="4"/>
      <c r="D525" s="4"/>
      <c r="E525" s="4"/>
      <c r="F525" s="4"/>
      <c r="G525" s="4"/>
      <c r="H525" s="4"/>
      <c r="I525" s="4"/>
      <c r="J525" s="4"/>
      <c r="K525" s="4"/>
    </row>
    <row r="526" ht="15.75" customHeight="1">
      <c r="A526" s="4"/>
      <c r="B526" s="4"/>
      <c r="C526" s="4"/>
      <c r="D526" s="4"/>
      <c r="E526" s="4"/>
      <c r="F526" s="4"/>
      <c r="G526" s="4"/>
      <c r="H526" s="4"/>
      <c r="I526" s="4"/>
      <c r="J526" s="4"/>
      <c r="K526" s="4"/>
    </row>
    <row r="527" ht="15.75" customHeight="1">
      <c r="A527" s="4"/>
      <c r="B527" s="4"/>
      <c r="C527" s="4"/>
      <c r="D527" s="4"/>
      <c r="E527" s="4"/>
      <c r="F527" s="4"/>
      <c r="G527" s="4"/>
      <c r="H527" s="4"/>
      <c r="I527" s="4"/>
      <c r="J527" s="4"/>
      <c r="K527" s="4"/>
    </row>
    <row r="528" ht="15.75" customHeight="1">
      <c r="A528" s="4"/>
      <c r="B528" s="4"/>
      <c r="C528" s="4"/>
      <c r="D528" s="4"/>
      <c r="E528" s="4"/>
      <c r="F528" s="4"/>
      <c r="G528" s="4"/>
      <c r="H528" s="4"/>
      <c r="I528" s="4"/>
      <c r="J528" s="4"/>
      <c r="K528" s="4"/>
    </row>
    <row r="529" ht="15.75" customHeight="1">
      <c r="A529" s="4"/>
      <c r="B529" s="4"/>
      <c r="C529" s="4"/>
      <c r="D529" s="4"/>
      <c r="E529" s="4"/>
      <c r="F529" s="4"/>
      <c r="G529" s="4"/>
      <c r="H529" s="4"/>
      <c r="I529" s="4"/>
      <c r="J529" s="4"/>
      <c r="K529" s="4"/>
    </row>
    <row r="530" ht="15.75" customHeight="1">
      <c r="A530" s="4"/>
      <c r="B530" s="4"/>
      <c r="C530" s="4"/>
      <c r="D530" s="4"/>
      <c r="E530" s="4"/>
      <c r="F530" s="4"/>
      <c r="G530" s="4"/>
      <c r="H530" s="4"/>
      <c r="I530" s="4"/>
      <c r="J530" s="4"/>
      <c r="K530" s="4"/>
    </row>
    <row r="531" ht="15.75" customHeight="1">
      <c r="A531" s="4"/>
      <c r="B531" s="4"/>
      <c r="C531" s="4"/>
      <c r="D531" s="4"/>
      <c r="E531" s="4"/>
      <c r="F531" s="4"/>
      <c r="G531" s="4"/>
      <c r="H531" s="4"/>
      <c r="I531" s="4"/>
      <c r="J531" s="4"/>
      <c r="K531" s="4"/>
    </row>
    <row r="532" ht="15.75" customHeight="1">
      <c r="A532" s="4"/>
      <c r="B532" s="4"/>
      <c r="C532" s="4"/>
      <c r="D532" s="4"/>
      <c r="E532" s="4"/>
      <c r="F532" s="4"/>
      <c r="G532" s="4"/>
      <c r="H532" s="4"/>
      <c r="I532" s="4"/>
      <c r="J532" s="4"/>
      <c r="K532" s="4"/>
    </row>
    <row r="533" ht="15.75" customHeight="1">
      <c r="A533" s="4"/>
      <c r="B533" s="4"/>
      <c r="C533" s="4"/>
      <c r="D533" s="4"/>
      <c r="E533" s="4"/>
      <c r="F533" s="4"/>
      <c r="G533" s="4"/>
      <c r="H533" s="4"/>
      <c r="I533" s="4"/>
      <c r="J533" s="4"/>
      <c r="K533" s="4"/>
    </row>
    <row r="534" ht="15.75" customHeight="1">
      <c r="A534" s="4"/>
      <c r="B534" s="4"/>
      <c r="C534" s="4"/>
      <c r="D534" s="4"/>
      <c r="E534" s="4"/>
      <c r="F534" s="4"/>
      <c r="G534" s="4"/>
      <c r="H534" s="4"/>
      <c r="I534" s="4"/>
      <c r="J534" s="4"/>
      <c r="K534" s="4"/>
    </row>
    <row r="535" ht="15.75" customHeight="1">
      <c r="A535" s="4"/>
      <c r="B535" s="4"/>
      <c r="C535" s="4"/>
      <c r="D535" s="4"/>
      <c r="E535" s="4"/>
      <c r="F535" s="4"/>
      <c r="G535" s="4"/>
      <c r="H535" s="4"/>
      <c r="I535" s="4"/>
      <c r="J535" s="4"/>
      <c r="K535" s="4"/>
    </row>
    <row r="536" ht="15.75" customHeight="1">
      <c r="A536" s="4"/>
      <c r="B536" s="4"/>
      <c r="C536" s="4"/>
      <c r="D536" s="4"/>
      <c r="E536" s="4"/>
      <c r="F536" s="4"/>
      <c r="G536" s="4"/>
      <c r="H536" s="4"/>
      <c r="I536" s="4"/>
      <c r="J536" s="4"/>
      <c r="K536" s="4"/>
    </row>
    <row r="537" ht="15.75" customHeight="1">
      <c r="A537" s="4"/>
      <c r="B537" s="4"/>
      <c r="C537" s="4"/>
      <c r="D537" s="4"/>
      <c r="E537" s="4"/>
      <c r="F537" s="4"/>
      <c r="G537" s="4"/>
      <c r="H537" s="4"/>
      <c r="I537" s="4"/>
      <c r="J537" s="4"/>
      <c r="K537" s="4"/>
    </row>
    <row r="538" ht="15.75" customHeight="1">
      <c r="A538" s="4"/>
      <c r="B538" s="4"/>
      <c r="C538" s="4"/>
      <c r="D538" s="4"/>
      <c r="E538" s="4"/>
      <c r="F538" s="4"/>
      <c r="G538" s="4"/>
      <c r="H538" s="4"/>
      <c r="I538" s="4"/>
      <c r="J538" s="4"/>
      <c r="K538" s="4"/>
    </row>
    <row r="539" ht="15.75" customHeight="1">
      <c r="A539" s="4"/>
      <c r="B539" s="4"/>
      <c r="C539" s="4"/>
      <c r="D539" s="4"/>
      <c r="E539" s="4"/>
      <c r="F539" s="4"/>
      <c r="G539" s="4"/>
      <c r="H539" s="4"/>
      <c r="I539" s="4"/>
      <c r="J539" s="4"/>
      <c r="K539" s="4"/>
    </row>
    <row r="540" ht="15.75" customHeight="1">
      <c r="A540" s="4"/>
      <c r="B540" s="4"/>
      <c r="C540" s="4"/>
      <c r="D540" s="4"/>
      <c r="E540" s="4"/>
      <c r="F540" s="4"/>
      <c r="G540" s="4"/>
      <c r="H540" s="4"/>
      <c r="I540" s="4"/>
      <c r="J540" s="4"/>
      <c r="K540" s="4"/>
    </row>
    <row r="541" ht="15.75" customHeight="1">
      <c r="A541" s="4"/>
      <c r="B541" s="4"/>
      <c r="C541" s="4"/>
      <c r="D541" s="4"/>
      <c r="E541" s="4"/>
      <c r="F541" s="4"/>
      <c r="G541" s="4"/>
      <c r="H541" s="4"/>
      <c r="I541" s="4"/>
      <c r="J541" s="4"/>
      <c r="K541" s="4"/>
    </row>
    <row r="542" ht="15.75" customHeight="1">
      <c r="A542" s="4"/>
      <c r="B542" s="4"/>
      <c r="C542" s="4"/>
      <c r="D542" s="4"/>
      <c r="E542" s="4"/>
      <c r="F542" s="4"/>
      <c r="G542" s="4"/>
      <c r="H542" s="4"/>
      <c r="I542" s="4"/>
      <c r="J542" s="4"/>
      <c r="K542" s="4"/>
    </row>
    <row r="543" ht="15.75" customHeight="1">
      <c r="A543" s="4"/>
      <c r="B543" s="4"/>
      <c r="C543" s="4"/>
      <c r="D543" s="4"/>
      <c r="E543" s="4"/>
      <c r="F543" s="4"/>
      <c r="G543" s="4"/>
      <c r="H543" s="4"/>
      <c r="I543" s="4"/>
      <c r="J543" s="4"/>
      <c r="K543" s="4"/>
    </row>
    <row r="544" ht="15.75" customHeight="1">
      <c r="A544" s="4"/>
      <c r="B544" s="4"/>
      <c r="C544" s="4"/>
      <c r="D544" s="4"/>
      <c r="E544" s="4"/>
      <c r="F544" s="4"/>
      <c r="G544" s="4"/>
      <c r="H544" s="4"/>
      <c r="I544" s="4"/>
      <c r="J544" s="4"/>
      <c r="K544" s="4"/>
    </row>
    <row r="545" ht="15.75" customHeight="1">
      <c r="A545" s="4"/>
      <c r="B545" s="4"/>
      <c r="C545" s="4"/>
      <c r="D545" s="4"/>
      <c r="E545" s="4"/>
      <c r="F545" s="4"/>
      <c r="G545" s="4"/>
      <c r="H545" s="4"/>
      <c r="I545" s="4"/>
      <c r="J545" s="4"/>
      <c r="K545" s="4"/>
    </row>
    <row r="546" ht="15.75" customHeight="1">
      <c r="A546" s="4"/>
      <c r="B546" s="4"/>
      <c r="C546" s="4"/>
      <c r="D546" s="4"/>
      <c r="E546" s="4"/>
      <c r="F546" s="4"/>
      <c r="G546" s="4"/>
      <c r="H546" s="4"/>
      <c r="I546" s="4"/>
      <c r="J546" s="4"/>
      <c r="K546" s="4"/>
    </row>
    <row r="547" ht="15.75" customHeight="1">
      <c r="A547" s="4"/>
      <c r="B547" s="4"/>
      <c r="C547" s="4"/>
      <c r="D547" s="4"/>
      <c r="E547" s="4"/>
      <c r="F547" s="4"/>
      <c r="G547" s="4"/>
      <c r="H547" s="4"/>
      <c r="I547" s="4"/>
      <c r="J547" s="4"/>
      <c r="K547" s="4"/>
    </row>
    <row r="548" ht="15.75" customHeight="1">
      <c r="A548" s="4"/>
      <c r="B548" s="4"/>
      <c r="C548" s="4"/>
      <c r="D548" s="4"/>
      <c r="E548" s="4"/>
      <c r="F548" s="4"/>
      <c r="G548" s="4"/>
      <c r="H548" s="4"/>
      <c r="I548" s="4"/>
      <c r="J548" s="4"/>
      <c r="K548" s="4"/>
    </row>
    <row r="549" ht="15.75" customHeight="1">
      <c r="A549" s="4"/>
      <c r="B549" s="4"/>
      <c r="C549" s="4"/>
      <c r="D549" s="4"/>
      <c r="E549" s="4"/>
      <c r="F549" s="4"/>
      <c r="G549" s="4"/>
      <c r="H549" s="4"/>
      <c r="I549" s="4"/>
      <c r="J549" s="4"/>
      <c r="K549" s="4"/>
    </row>
    <row r="550" ht="15.75" customHeight="1">
      <c r="A550" s="4"/>
      <c r="B550" s="4"/>
      <c r="C550" s="4"/>
      <c r="D550" s="4"/>
      <c r="E550" s="4"/>
      <c r="F550" s="4"/>
      <c r="G550" s="4"/>
      <c r="H550" s="4"/>
      <c r="I550" s="4"/>
      <c r="J550" s="4"/>
      <c r="K550" s="4"/>
    </row>
    <row r="551" ht="15.75" customHeight="1">
      <c r="A551" s="4"/>
      <c r="B551" s="4"/>
      <c r="C551" s="4"/>
      <c r="D551" s="4"/>
      <c r="E551" s="4"/>
      <c r="F551" s="4"/>
      <c r="G551" s="4"/>
      <c r="H551" s="4"/>
      <c r="I551" s="4"/>
      <c r="J551" s="4"/>
      <c r="K551" s="4"/>
    </row>
    <row r="552" ht="15.75" customHeight="1">
      <c r="A552" s="4"/>
      <c r="B552" s="4"/>
      <c r="C552" s="4"/>
      <c r="D552" s="4"/>
      <c r="E552" s="4"/>
      <c r="F552" s="4"/>
      <c r="G552" s="4"/>
      <c r="H552" s="4"/>
      <c r="I552" s="4"/>
      <c r="J552" s="4"/>
      <c r="K552" s="4"/>
    </row>
    <row r="553" ht="15.75" customHeight="1">
      <c r="A553" s="4"/>
      <c r="B553" s="4"/>
      <c r="C553" s="4"/>
      <c r="D553" s="4"/>
      <c r="E553" s="4"/>
      <c r="F553" s="4"/>
      <c r="G553" s="4"/>
      <c r="H553" s="4"/>
      <c r="I553" s="4"/>
      <c r="J553" s="4"/>
      <c r="K553" s="4"/>
    </row>
    <row r="554" ht="15.75" customHeight="1">
      <c r="A554" s="4"/>
      <c r="B554" s="4"/>
      <c r="C554" s="4"/>
      <c r="D554" s="4"/>
      <c r="E554" s="4"/>
      <c r="F554" s="4"/>
      <c r="G554" s="4"/>
      <c r="H554" s="4"/>
      <c r="I554" s="4"/>
      <c r="J554" s="4"/>
      <c r="K554" s="4"/>
    </row>
    <row r="555" ht="15.75" customHeight="1">
      <c r="A555" s="4"/>
      <c r="B555" s="4"/>
      <c r="C555" s="4"/>
      <c r="D555" s="4"/>
      <c r="E555" s="4"/>
      <c r="F555" s="4"/>
      <c r="G555" s="4"/>
      <c r="H555" s="4"/>
      <c r="I555" s="4"/>
      <c r="J555" s="4"/>
      <c r="K555" s="4"/>
    </row>
    <row r="556" ht="15.75" customHeight="1">
      <c r="A556" s="4"/>
      <c r="B556" s="4"/>
      <c r="C556" s="4"/>
      <c r="D556" s="4"/>
      <c r="E556" s="4"/>
      <c r="F556" s="4"/>
      <c r="G556" s="4"/>
      <c r="H556" s="4"/>
      <c r="I556" s="4"/>
      <c r="J556" s="4"/>
      <c r="K556" s="4"/>
    </row>
    <row r="557" ht="15.75" customHeight="1">
      <c r="A557" s="4"/>
      <c r="B557" s="4"/>
      <c r="C557" s="4"/>
      <c r="D557" s="4"/>
      <c r="E557" s="4"/>
      <c r="F557" s="4"/>
      <c r="G557" s="4"/>
      <c r="H557" s="4"/>
      <c r="I557" s="4"/>
      <c r="J557" s="4"/>
      <c r="K557" s="4"/>
    </row>
    <row r="558" ht="15.75" customHeight="1">
      <c r="A558" s="4"/>
      <c r="B558" s="4"/>
      <c r="C558" s="4"/>
      <c r="D558" s="4"/>
      <c r="E558" s="4"/>
      <c r="F558" s="4"/>
      <c r="G558" s="4"/>
      <c r="H558" s="4"/>
      <c r="I558" s="4"/>
      <c r="J558" s="4"/>
      <c r="K558" s="4"/>
    </row>
    <row r="559" ht="15.75" customHeight="1">
      <c r="A559" s="4"/>
      <c r="B559" s="4"/>
      <c r="C559" s="4"/>
      <c r="D559" s="4"/>
      <c r="E559" s="4"/>
      <c r="F559" s="4"/>
      <c r="G559" s="4"/>
      <c r="H559" s="4"/>
      <c r="I559" s="4"/>
      <c r="J559" s="4"/>
      <c r="K559" s="4"/>
    </row>
    <row r="560" ht="15.75" customHeight="1">
      <c r="A560" s="4"/>
      <c r="B560" s="4"/>
      <c r="C560" s="4"/>
      <c r="D560" s="4"/>
      <c r="E560" s="4"/>
      <c r="F560" s="4"/>
      <c r="G560" s="4"/>
      <c r="H560" s="4"/>
      <c r="I560" s="4"/>
      <c r="J560" s="4"/>
      <c r="K560" s="4"/>
    </row>
    <row r="561" ht="15.75" customHeight="1">
      <c r="A561" s="4"/>
      <c r="B561" s="4"/>
      <c r="C561" s="4"/>
      <c r="D561" s="4"/>
      <c r="E561" s="4"/>
      <c r="F561" s="4"/>
      <c r="G561" s="4"/>
      <c r="H561" s="4"/>
      <c r="I561" s="4"/>
      <c r="J561" s="4"/>
      <c r="K561" s="4"/>
    </row>
    <row r="562" ht="15.75" customHeight="1">
      <c r="A562" s="4"/>
      <c r="B562" s="4"/>
      <c r="C562" s="4"/>
      <c r="D562" s="4"/>
      <c r="E562" s="4"/>
      <c r="F562" s="4"/>
      <c r="G562" s="4"/>
      <c r="H562" s="4"/>
      <c r="I562" s="4"/>
      <c r="J562" s="4"/>
      <c r="K562" s="4"/>
    </row>
    <row r="563" ht="15.75" customHeight="1">
      <c r="A563" s="4"/>
      <c r="B563" s="4"/>
      <c r="C563" s="4"/>
      <c r="D563" s="4"/>
      <c r="E563" s="4"/>
      <c r="F563" s="4"/>
      <c r="G563" s="4"/>
      <c r="H563" s="4"/>
      <c r="I563" s="4"/>
      <c r="J563" s="4"/>
      <c r="K563" s="4"/>
    </row>
    <row r="564" ht="15.75" customHeight="1">
      <c r="A564" s="4"/>
      <c r="B564" s="4"/>
      <c r="C564" s="4"/>
      <c r="D564" s="4"/>
      <c r="E564" s="4"/>
      <c r="F564" s="4"/>
      <c r="G564" s="4"/>
      <c r="H564" s="4"/>
      <c r="I564" s="4"/>
      <c r="J564" s="4"/>
      <c r="K564" s="4"/>
    </row>
    <row r="565" ht="15.75" customHeight="1">
      <c r="A565" s="4"/>
      <c r="B565" s="4"/>
      <c r="C565" s="4"/>
      <c r="D565" s="4"/>
      <c r="E565" s="4"/>
      <c r="F565" s="4"/>
      <c r="G565" s="4"/>
      <c r="H565" s="4"/>
      <c r="I565" s="4"/>
      <c r="J565" s="4"/>
      <c r="K565" s="4"/>
    </row>
    <row r="566" ht="15.75" customHeight="1">
      <c r="A566" s="4"/>
      <c r="B566" s="4"/>
      <c r="C566" s="4"/>
      <c r="D566" s="4"/>
      <c r="E566" s="4"/>
      <c r="F566" s="4"/>
      <c r="G566" s="4"/>
      <c r="H566" s="4"/>
      <c r="I566" s="4"/>
      <c r="J566" s="4"/>
      <c r="K566" s="4"/>
    </row>
    <row r="567" ht="15.75" customHeight="1">
      <c r="A567" s="4"/>
      <c r="B567" s="4"/>
      <c r="C567" s="4"/>
      <c r="D567" s="4"/>
      <c r="E567" s="4"/>
      <c r="F567" s="4"/>
      <c r="G567" s="4"/>
      <c r="H567" s="4"/>
      <c r="I567" s="4"/>
      <c r="J567" s="4"/>
      <c r="K567" s="4"/>
    </row>
    <row r="568" ht="15.75" customHeight="1">
      <c r="A568" s="4"/>
      <c r="B568" s="4"/>
      <c r="C568" s="4"/>
      <c r="D568" s="4"/>
      <c r="E568" s="4"/>
      <c r="F568" s="4"/>
      <c r="G568" s="4"/>
      <c r="H568" s="4"/>
      <c r="I568" s="4"/>
      <c r="J568" s="4"/>
      <c r="K568" s="4"/>
    </row>
    <row r="569" ht="15.75" customHeight="1">
      <c r="A569" s="4"/>
      <c r="B569" s="4"/>
      <c r="C569" s="4"/>
      <c r="D569" s="4"/>
      <c r="E569" s="4"/>
      <c r="F569" s="4"/>
      <c r="G569" s="4"/>
      <c r="H569" s="4"/>
      <c r="I569" s="4"/>
      <c r="J569" s="4"/>
      <c r="K569" s="4"/>
    </row>
    <row r="570" ht="15.75" customHeight="1">
      <c r="A570" s="4"/>
      <c r="B570" s="4"/>
      <c r="C570" s="4"/>
      <c r="D570" s="4"/>
      <c r="E570" s="4"/>
      <c r="F570" s="4"/>
      <c r="G570" s="4"/>
      <c r="H570" s="4"/>
      <c r="I570" s="4"/>
      <c r="J570" s="4"/>
      <c r="K570" s="4"/>
    </row>
    <row r="571" ht="15.75" customHeight="1">
      <c r="A571" s="4"/>
      <c r="B571" s="4"/>
      <c r="C571" s="4"/>
      <c r="D571" s="4"/>
      <c r="E571" s="4"/>
      <c r="F571" s="4"/>
      <c r="G571" s="4"/>
      <c r="H571" s="4"/>
      <c r="I571" s="4"/>
      <c r="J571" s="4"/>
      <c r="K571" s="4"/>
    </row>
    <row r="572" ht="15.75" customHeight="1">
      <c r="A572" s="4"/>
      <c r="B572" s="4"/>
      <c r="C572" s="4"/>
      <c r="D572" s="4"/>
      <c r="E572" s="4"/>
      <c r="F572" s="4"/>
      <c r="G572" s="4"/>
      <c r="H572" s="4"/>
      <c r="I572" s="4"/>
      <c r="J572" s="4"/>
      <c r="K572" s="4"/>
    </row>
    <row r="573" ht="15.75" customHeight="1">
      <c r="A573" s="4"/>
      <c r="B573" s="4"/>
      <c r="C573" s="4"/>
      <c r="D573" s="4"/>
      <c r="E573" s="4"/>
      <c r="F573" s="4"/>
      <c r="G573" s="4"/>
      <c r="H573" s="4"/>
      <c r="I573" s="4"/>
      <c r="J573" s="4"/>
      <c r="K573" s="4"/>
    </row>
    <row r="574" ht="15.75" customHeight="1">
      <c r="A574" s="4"/>
      <c r="B574" s="4"/>
      <c r="C574" s="4"/>
      <c r="D574" s="4"/>
      <c r="E574" s="4"/>
      <c r="F574" s="4"/>
      <c r="G574" s="4"/>
      <c r="H574" s="4"/>
      <c r="I574" s="4"/>
      <c r="J574" s="4"/>
      <c r="K574" s="4"/>
    </row>
    <row r="575" ht="15.75" customHeight="1">
      <c r="A575" s="4"/>
      <c r="B575" s="4"/>
      <c r="C575" s="4"/>
      <c r="D575" s="4"/>
      <c r="E575" s="4"/>
      <c r="F575" s="4"/>
      <c r="G575" s="4"/>
      <c r="H575" s="4"/>
      <c r="I575" s="4"/>
      <c r="J575" s="4"/>
      <c r="K575" s="4"/>
    </row>
    <row r="576" ht="15.75" customHeight="1">
      <c r="A576" s="4"/>
      <c r="B576" s="4"/>
      <c r="C576" s="4"/>
      <c r="D576" s="4"/>
      <c r="E576" s="4"/>
      <c r="F576" s="4"/>
      <c r="G576" s="4"/>
      <c r="H576" s="4"/>
      <c r="I576" s="4"/>
      <c r="J576" s="4"/>
      <c r="K576" s="4"/>
    </row>
    <row r="577" ht="15.75" customHeight="1">
      <c r="A577" s="4"/>
      <c r="B577" s="4"/>
      <c r="C577" s="4"/>
      <c r="D577" s="4"/>
      <c r="E577" s="4"/>
      <c r="F577" s="4"/>
      <c r="G577" s="4"/>
      <c r="H577" s="4"/>
      <c r="I577" s="4"/>
      <c r="J577" s="4"/>
      <c r="K577" s="4"/>
    </row>
    <row r="578" ht="15.75" customHeight="1">
      <c r="A578" s="4"/>
      <c r="B578" s="4"/>
      <c r="C578" s="4"/>
      <c r="D578" s="4"/>
      <c r="E578" s="4"/>
      <c r="F578" s="4"/>
      <c r="G578" s="4"/>
      <c r="H578" s="4"/>
      <c r="I578" s="4"/>
      <c r="J578" s="4"/>
      <c r="K578" s="4"/>
    </row>
    <row r="579" ht="15.75" customHeight="1">
      <c r="A579" s="4"/>
      <c r="B579" s="4"/>
      <c r="C579" s="4"/>
      <c r="D579" s="4"/>
      <c r="E579" s="4"/>
      <c r="F579" s="4"/>
      <c r="G579" s="4"/>
      <c r="H579" s="4"/>
      <c r="I579" s="4"/>
      <c r="J579" s="4"/>
      <c r="K579" s="4"/>
    </row>
    <row r="580" ht="15.75" customHeight="1">
      <c r="A580" s="4"/>
      <c r="B580" s="4"/>
      <c r="C580" s="4"/>
      <c r="D580" s="4"/>
      <c r="E580" s="4"/>
      <c r="F580" s="4"/>
      <c r="G580" s="4"/>
      <c r="H580" s="4"/>
      <c r="I580" s="4"/>
      <c r="J580" s="4"/>
      <c r="K580" s="4"/>
    </row>
    <row r="581" ht="15.75" customHeight="1">
      <c r="A581" s="4"/>
      <c r="B581" s="4"/>
      <c r="C581" s="4"/>
      <c r="D581" s="4"/>
      <c r="E581" s="4"/>
      <c r="F581" s="4"/>
      <c r="G581" s="4"/>
      <c r="H581" s="4"/>
      <c r="I581" s="4"/>
      <c r="J581" s="4"/>
      <c r="K581" s="4"/>
    </row>
    <row r="582" ht="15.75" customHeight="1">
      <c r="A582" s="4"/>
      <c r="B582" s="4"/>
      <c r="C582" s="4"/>
      <c r="D582" s="4"/>
      <c r="E582" s="4"/>
      <c r="F582" s="4"/>
      <c r="G582" s="4"/>
      <c r="H582" s="4"/>
      <c r="I582" s="4"/>
      <c r="J582" s="4"/>
      <c r="K582" s="4"/>
    </row>
    <row r="583" ht="15.75" customHeight="1">
      <c r="A583" s="4"/>
      <c r="B583" s="4"/>
      <c r="C583" s="4"/>
      <c r="D583" s="4"/>
      <c r="E583" s="4"/>
      <c r="F583" s="4"/>
      <c r="G583" s="4"/>
      <c r="H583" s="4"/>
      <c r="I583" s="4"/>
      <c r="J583" s="4"/>
      <c r="K583" s="4"/>
    </row>
    <row r="584" ht="15.75" customHeight="1">
      <c r="A584" s="4"/>
      <c r="B584" s="4"/>
      <c r="C584" s="4"/>
      <c r="D584" s="4"/>
      <c r="E584" s="4"/>
      <c r="F584" s="4"/>
      <c r="G584" s="4"/>
      <c r="H584" s="4"/>
      <c r="I584" s="4"/>
      <c r="J584" s="4"/>
      <c r="K584" s="4"/>
    </row>
    <row r="585" ht="15.75" customHeight="1">
      <c r="A585" s="4"/>
      <c r="B585" s="4"/>
      <c r="C585" s="4"/>
      <c r="D585" s="4"/>
      <c r="E585" s="4"/>
      <c r="F585" s="4"/>
      <c r="G585" s="4"/>
      <c r="H585" s="4"/>
      <c r="I585" s="4"/>
      <c r="J585" s="4"/>
      <c r="K585" s="4"/>
    </row>
    <row r="586" ht="15.75" customHeight="1">
      <c r="A586" s="4"/>
      <c r="B586" s="4"/>
      <c r="C586" s="4"/>
      <c r="D586" s="4"/>
      <c r="E586" s="4"/>
      <c r="F586" s="4"/>
      <c r="G586" s="4"/>
      <c r="H586" s="4"/>
      <c r="I586" s="4"/>
      <c r="J586" s="4"/>
      <c r="K586" s="4"/>
    </row>
    <row r="587" ht="15.75" customHeight="1">
      <c r="A587" s="4"/>
      <c r="B587" s="4"/>
      <c r="C587" s="4"/>
      <c r="D587" s="4"/>
      <c r="E587" s="4"/>
      <c r="F587" s="4"/>
      <c r="G587" s="4"/>
      <c r="H587" s="4"/>
      <c r="I587" s="4"/>
      <c r="J587" s="4"/>
      <c r="K587" s="4"/>
    </row>
    <row r="588" ht="15.75" customHeight="1">
      <c r="A588" s="4"/>
      <c r="B588" s="4"/>
      <c r="C588" s="4"/>
      <c r="D588" s="4"/>
      <c r="E588" s="4"/>
      <c r="F588" s="4"/>
      <c r="G588" s="4"/>
      <c r="H588" s="4"/>
      <c r="I588" s="4"/>
      <c r="J588" s="4"/>
      <c r="K588" s="4"/>
    </row>
    <row r="589" ht="15.75" customHeight="1">
      <c r="A589" s="4"/>
      <c r="B589" s="4"/>
      <c r="C589" s="4"/>
      <c r="D589" s="4"/>
      <c r="E589" s="4"/>
      <c r="F589" s="4"/>
      <c r="G589" s="4"/>
      <c r="H589" s="4"/>
      <c r="I589" s="4"/>
      <c r="J589" s="4"/>
      <c r="K589" s="4"/>
    </row>
    <row r="590" ht="15.75" customHeight="1">
      <c r="A590" s="4"/>
      <c r="B590" s="4"/>
      <c r="C590" s="4"/>
      <c r="D590" s="4"/>
      <c r="E590" s="4"/>
      <c r="F590" s="4"/>
      <c r="G590" s="4"/>
      <c r="H590" s="4"/>
      <c r="I590" s="4"/>
      <c r="J590" s="4"/>
      <c r="K590" s="4"/>
    </row>
    <row r="591" ht="15.75" customHeight="1">
      <c r="A591" s="4"/>
      <c r="B591" s="4"/>
      <c r="C591" s="4"/>
      <c r="D591" s="4"/>
      <c r="E591" s="4"/>
      <c r="F591" s="4"/>
      <c r="G591" s="4"/>
      <c r="H591" s="4"/>
      <c r="I591" s="4"/>
      <c r="J591" s="4"/>
      <c r="K591" s="4"/>
    </row>
    <row r="592" ht="15.75" customHeight="1">
      <c r="A592" s="4"/>
      <c r="B592" s="4"/>
      <c r="C592" s="4"/>
      <c r="D592" s="4"/>
      <c r="E592" s="4"/>
      <c r="F592" s="4"/>
      <c r="G592" s="4"/>
      <c r="H592" s="4"/>
      <c r="I592" s="4"/>
      <c r="J592" s="4"/>
      <c r="K592" s="4"/>
    </row>
    <row r="593" ht="15.75" customHeight="1">
      <c r="A593" s="4"/>
      <c r="B593" s="4"/>
      <c r="C593" s="4"/>
      <c r="D593" s="4"/>
      <c r="E593" s="4"/>
      <c r="F593" s="4"/>
      <c r="G593" s="4"/>
      <c r="H593" s="4"/>
      <c r="I593" s="4"/>
      <c r="J593" s="4"/>
      <c r="K593" s="4"/>
    </row>
    <row r="594" ht="15.75" customHeight="1">
      <c r="A594" s="4"/>
      <c r="B594" s="4"/>
      <c r="C594" s="4"/>
      <c r="D594" s="4"/>
      <c r="E594" s="4"/>
      <c r="F594" s="4"/>
      <c r="G594" s="4"/>
      <c r="H594" s="4"/>
      <c r="I594" s="4"/>
      <c r="J594" s="4"/>
      <c r="K594" s="4"/>
    </row>
    <row r="595" ht="15.75" customHeight="1">
      <c r="A595" s="4"/>
      <c r="B595" s="4"/>
      <c r="C595" s="4"/>
      <c r="D595" s="4"/>
      <c r="E595" s="4"/>
      <c r="F595" s="4"/>
      <c r="G595" s="4"/>
      <c r="H595" s="4"/>
      <c r="I595" s="4"/>
      <c r="J595" s="4"/>
      <c r="K595" s="4"/>
    </row>
    <row r="596" ht="15.75" customHeight="1">
      <c r="A596" s="4"/>
      <c r="B596" s="4"/>
      <c r="C596" s="4"/>
      <c r="D596" s="4"/>
      <c r="E596" s="4"/>
      <c r="F596" s="4"/>
      <c r="G596" s="4"/>
      <c r="H596" s="4"/>
      <c r="I596" s="4"/>
      <c r="J596" s="4"/>
      <c r="K596" s="4"/>
    </row>
    <row r="597" ht="15.75" customHeight="1">
      <c r="A597" s="4"/>
      <c r="B597" s="4"/>
      <c r="C597" s="4"/>
      <c r="D597" s="4"/>
      <c r="E597" s="4"/>
      <c r="F597" s="4"/>
      <c r="G597" s="4"/>
      <c r="H597" s="4"/>
      <c r="I597" s="4"/>
      <c r="J597" s="4"/>
      <c r="K597" s="4"/>
    </row>
    <row r="598" ht="15.75" customHeight="1">
      <c r="A598" s="4"/>
      <c r="B598" s="4"/>
      <c r="C598" s="4"/>
      <c r="D598" s="4"/>
      <c r="E598" s="4"/>
      <c r="F598" s="4"/>
      <c r="G598" s="4"/>
      <c r="H598" s="4"/>
      <c r="I598" s="4"/>
      <c r="J598" s="4"/>
      <c r="K598" s="4"/>
    </row>
    <row r="599" ht="15.75" customHeight="1">
      <c r="A599" s="4"/>
      <c r="B599" s="4"/>
      <c r="C599" s="4"/>
      <c r="D599" s="4"/>
      <c r="E599" s="4"/>
      <c r="F599" s="4"/>
      <c r="G599" s="4"/>
      <c r="H599" s="4"/>
      <c r="I599" s="4"/>
      <c r="J599" s="4"/>
      <c r="K599" s="4"/>
    </row>
    <row r="600" ht="15.75" customHeight="1">
      <c r="A600" s="4"/>
      <c r="B600" s="4"/>
      <c r="C600" s="4"/>
      <c r="D600" s="4"/>
      <c r="E600" s="4"/>
      <c r="F600" s="4"/>
      <c r="G600" s="4"/>
      <c r="H600" s="4"/>
      <c r="I600" s="4"/>
      <c r="J600" s="4"/>
      <c r="K600" s="4"/>
    </row>
    <row r="601" ht="15.75" customHeight="1">
      <c r="A601" s="4"/>
      <c r="B601" s="4"/>
      <c r="C601" s="4"/>
      <c r="D601" s="4"/>
      <c r="E601" s="4"/>
      <c r="F601" s="4"/>
      <c r="G601" s="4"/>
      <c r="H601" s="4"/>
      <c r="I601" s="4"/>
      <c r="J601" s="4"/>
      <c r="K601" s="4"/>
    </row>
    <row r="602" ht="15.75" customHeight="1">
      <c r="A602" s="4"/>
      <c r="B602" s="4"/>
      <c r="C602" s="4"/>
      <c r="D602" s="4"/>
      <c r="E602" s="4"/>
      <c r="F602" s="4"/>
      <c r="G602" s="4"/>
      <c r="H602" s="4"/>
      <c r="I602" s="4"/>
      <c r="J602" s="4"/>
      <c r="K602" s="4"/>
    </row>
    <row r="603" ht="15.75" customHeight="1">
      <c r="A603" s="4"/>
      <c r="B603" s="4"/>
      <c r="C603" s="4"/>
      <c r="D603" s="4"/>
      <c r="E603" s="4"/>
      <c r="F603" s="4"/>
      <c r="G603" s="4"/>
      <c r="H603" s="4"/>
      <c r="I603" s="4"/>
      <c r="J603" s="4"/>
      <c r="K603" s="4"/>
    </row>
    <row r="604" ht="15.75" customHeight="1">
      <c r="A604" s="4"/>
      <c r="B604" s="4"/>
      <c r="C604" s="4"/>
      <c r="D604" s="4"/>
      <c r="E604" s="4"/>
      <c r="F604" s="4"/>
      <c r="G604" s="4"/>
      <c r="H604" s="4"/>
      <c r="I604" s="4"/>
      <c r="J604" s="4"/>
      <c r="K604" s="4"/>
    </row>
    <row r="605" ht="15.75" customHeight="1">
      <c r="A605" s="4"/>
      <c r="B605" s="4"/>
      <c r="C605" s="4"/>
      <c r="D605" s="4"/>
      <c r="E605" s="4"/>
      <c r="F605" s="4"/>
      <c r="G605" s="4"/>
      <c r="H605" s="4"/>
      <c r="I605" s="4"/>
      <c r="J605" s="4"/>
      <c r="K605" s="4"/>
    </row>
    <row r="606" ht="15.75" customHeight="1">
      <c r="A606" s="4"/>
      <c r="B606" s="4"/>
      <c r="C606" s="4"/>
      <c r="D606" s="4"/>
      <c r="E606" s="4"/>
      <c r="F606" s="4"/>
      <c r="G606" s="4"/>
      <c r="H606" s="4"/>
      <c r="I606" s="4"/>
      <c r="J606" s="4"/>
      <c r="K606" s="4"/>
    </row>
    <row r="607" ht="15.75" customHeight="1">
      <c r="A607" s="4"/>
      <c r="B607" s="4"/>
      <c r="C607" s="4"/>
      <c r="D607" s="4"/>
      <c r="E607" s="4"/>
      <c r="F607" s="4"/>
      <c r="G607" s="4"/>
      <c r="H607" s="4"/>
      <c r="I607" s="4"/>
      <c r="J607" s="4"/>
      <c r="K607" s="4"/>
    </row>
    <row r="608" ht="15.75" customHeight="1">
      <c r="A608" s="4"/>
      <c r="B608" s="4"/>
      <c r="C608" s="4"/>
      <c r="D608" s="4"/>
      <c r="E608" s="4"/>
      <c r="F608" s="4"/>
      <c r="G608" s="4"/>
      <c r="H608" s="4"/>
      <c r="I608" s="4"/>
      <c r="J608" s="4"/>
      <c r="K608" s="4"/>
    </row>
    <row r="609" ht="15.75" customHeight="1">
      <c r="A609" s="4"/>
      <c r="B609" s="4"/>
      <c r="C609" s="4"/>
      <c r="D609" s="4"/>
      <c r="E609" s="4"/>
      <c r="F609" s="4"/>
      <c r="G609" s="4"/>
      <c r="H609" s="4"/>
      <c r="I609" s="4"/>
      <c r="J609" s="4"/>
      <c r="K609" s="4"/>
    </row>
    <row r="610" ht="15.75" customHeight="1">
      <c r="A610" s="4"/>
      <c r="B610" s="4"/>
      <c r="C610" s="4"/>
      <c r="D610" s="4"/>
      <c r="E610" s="4"/>
      <c r="F610" s="4"/>
      <c r="G610" s="4"/>
      <c r="H610" s="4"/>
      <c r="I610" s="4"/>
      <c r="J610" s="4"/>
      <c r="K610" s="4"/>
    </row>
    <row r="611" ht="15.75" customHeight="1">
      <c r="A611" s="4"/>
      <c r="B611" s="4"/>
      <c r="C611" s="4"/>
      <c r="D611" s="4"/>
      <c r="E611" s="4"/>
      <c r="F611" s="4"/>
      <c r="G611" s="4"/>
      <c r="H611" s="4"/>
      <c r="I611" s="4"/>
      <c r="J611" s="4"/>
      <c r="K611" s="4"/>
    </row>
    <row r="612" ht="15.75" customHeight="1">
      <c r="A612" s="4"/>
      <c r="B612" s="4"/>
      <c r="C612" s="4"/>
      <c r="D612" s="4"/>
      <c r="E612" s="4"/>
      <c r="F612" s="4"/>
      <c r="G612" s="4"/>
      <c r="H612" s="4"/>
      <c r="I612" s="4"/>
      <c r="J612" s="4"/>
      <c r="K612" s="4"/>
    </row>
    <row r="613" ht="15.75" customHeight="1">
      <c r="A613" s="4"/>
      <c r="B613" s="4"/>
      <c r="C613" s="4"/>
      <c r="D613" s="4"/>
      <c r="E613" s="4"/>
      <c r="F613" s="4"/>
      <c r="G613" s="4"/>
      <c r="H613" s="4"/>
      <c r="I613" s="4"/>
      <c r="J613" s="4"/>
      <c r="K613" s="4"/>
    </row>
    <row r="614" ht="15.75" customHeight="1">
      <c r="A614" s="4"/>
      <c r="B614" s="4"/>
      <c r="C614" s="4"/>
      <c r="D614" s="4"/>
      <c r="E614" s="4"/>
      <c r="F614" s="4"/>
      <c r="G614" s="4"/>
      <c r="H614" s="4"/>
      <c r="I614" s="4"/>
      <c r="J614" s="4"/>
      <c r="K614" s="4"/>
    </row>
    <row r="615" ht="15.75" customHeight="1">
      <c r="A615" s="4"/>
      <c r="B615" s="4"/>
      <c r="C615" s="4"/>
      <c r="D615" s="4"/>
      <c r="E615" s="4"/>
      <c r="F615" s="4"/>
      <c r="G615" s="4"/>
      <c r="H615" s="4"/>
      <c r="I615" s="4"/>
      <c r="J615" s="4"/>
      <c r="K615" s="4"/>
    </row>
    <row r="616" ht="15.75" customHeight="1">
      <c r="A616" s="4"/>
      <c r="B616" s="4"/>
      <c r="C616" s="4"/>
      <c r="D616" s="4"/>
      <c r="E616" s="4"/>
      <c r="F616" s="4"/>
      <c r="G616" s="4"/>
      <c r="H616" s="4"/>
      <c r="I616" s="4"/>
      <c r="J616" s="4"/>
      <c r="K616" s="4"/>
    </row>
    <row r="617" ht="15.75" customHeight="1">
      <c r="A617" s="4"/>
      <c r="B617" s="4"/>
      <c r="C617" s="4"/>
      <c r="D617" s="4"/>
      <c r="E617" s="4"/>
      <c r="F617" s="4"/>
      <c r="G617" s="4"/>
      <c r="H617" s="4"/>
      <c r="I617" s="4"/>
      <c r="J617" s="4"/>
      <c r="K617" s="4"/>
    </row>
    <row r="618" ht="15.75" customHeight="1">
      <c r="A618" s="4"/>
      <c r="B618" s="4"/>
      <c r="C618" s="4"/>
      <c r="D618" s="4"/>
      <c r="E618" s="4"/>
      <c r="F618" s="4"/>
      <c r="G618" s="4"/>
      <c r="H618" s="4"/>
      <c r="I618" s="4"/>
      <c r="J618" s="4"/>
      <c r="K618" s="4"/>
    </row>
    <row r="619" ht="15.75" customHeight="1">
      <c r="A619" s="4"/>
      <c r="B619" s="4"/>
      <c r="C619" s="4"/>
      <c r="D619" s="4"/>
      <c r="E619" s="4"/>
      <c r="F619" s="4"/>
      <c r="G619" s="4"/>
      <c r="H619" s="4"/>
      <c r="I619" s="4"/>
      <c r="J619" s="4"/>
      <c r="K619" s="4"/>
    </row>
    <row r="620" ht="15.75" customHeight="1">
      <c r="A620" s="4"/>
      <c r="B620" s="4"/>
      <c r="C620" s="4"/>
      <c r="D620" s="4"/>
      <c r="E620" s="4"/>
      <c r="F620" s="4"/>
      <c r="G620" s="4"/>
      <c r="H620" s="4"/>
      <c r="I620" s="4"/>
      <c r="J620" s="4"/>
      <c r="K620" s="4"/>
    </row>
    <row r="621" ht="15.75" customHeight="1">
      <c r="A621" s="4"/>
      <c r="B621" s="4"/>
      <c r="C621" s="4"/>
      <c r="D621" s="4"/>
      <c r="E621" s="4"/>
      <c r="F621" s="4"/>
      <c r="G621" s="4"/>
      <c r="H621" s="4"/>
      <c r="I621" s="4"/>
      <c r="J621" s="4"/>
      <c r="K621" s="4"/>
    </row>
    <row r="622" ht="15.75" customHeight="1">
      <c r="A622" s="4"/>
      <c r="B622" s="4"/>
      <c r="C622" s="4"/>
      <c r="D622" s="4"/>
      <c r="E622" s="4"/>
      <c r="F622" s="4"/>
      <c r="G622" s="4"/>
      <c r="H622" s="4"/>
      <c r="I622" s="4"/>
      <c r="J622" s="4"/>
      <c r="K622" s="4"/>
    </row>
    <row r="623" ht="15.75" customHeight="1">
      <c r="A623" s="4"/>
      <c r="B623" s="4"/>
      <c r="C623" s="4"/>
      <c r="D623" s="4"/>
      <c r="E623" s="4"/>
      <c r="F623" s="4"/>
      <c r="G623" s="4"/>
      <c r="H623" s="4"/>
      <c r="I623" s="4"/>
      <c r="J623" s="4"/>
      <c r="K623" s="4"/>
    </row>
    <row r="624" ht="15.75" customHeight="1">
      <c r="A624" s="4"/>
      <c r="B624" s="4"/>
      <c r="C624" s="4"/>
      <c r="D624" s="4"/>
      <c r="E624" s="4"/>
      <c r="F624" s="4"/>
      <c r="G624" s="4"/>
      <c r="H624" s="4"/>
      <c r="I624" s="4"/>
      <c r="J624" s="4"/>
      <c r="K624" s="4"/>
    </row>
    <row r="625" ht="15.75" customHeight="1">
      <c r="A625" s="4"/>
      <c r="B625" s="4"/>
      <c r="C625" s="4"/>
      <c r="D625" s="4"/>
      <c r="E625" s="4"/>
      <c r="F625" s="4"/>
      <c r="G625" s="4"/>
      <c r="H625" s="4"/>
      <c r="I625" s="4"/>
      <c r="J625" s="4"/>
      <c r="K625" s="4"/>
    </row>
    <row r="626" ht="15.75" customHeight="1">
      <c r="A626" s="4"/>
      <c r="B626" s="4"/>
      <c r="C626" s="4"/>
      <c r="D626" s="4"/>
      <c r="E626" s="4"/>
      <c r="F626" s="4"/>
      <c r="G626" s="4"/>
      <c r="H626" s="4"/>
      <c r="I626" s="4"/>
      <c r="J626" s="4"/>
      <c r="K626" s="4"/>
    </row>
    <row r="627" ht="15.75" customHeight="1">
      <c r="A627" s="4"/>
      <c r="B627" s="4"/>
      <c r="C627" s="4"/>
      <c r="D627" s="4"/>
      <c r="E627" s="4"/>
      <c r="F627" s="4"/>
      <c r="G627" s="4"/>
      <c r="H627" s="4"/>
      <c r="I627" s="4"/>
      <c r="J627" s="4"/>
      <c r="K627" s="4"/>
    </row>
    <row r="628" ht="15.75" customHeight="1">
      <c r="A628" s="4"/>
      <c r="B628" s="4"/>
      <c r="C628" s="4"/>
      <c r="D628" s="4"/>
      <c r="E628" s="4"/>
      <c r="F628" s="4"/>
      <c r="G628" s="4"/>
      <c r="H628" s="4"/>
      <c r="I628" s="4"/>
      <c r="J628" s="4"/>
      <c r="K628" s="4"/>
    </row>
    <row r="629" ht="15.75" customHeight="1">
      <c r="A629" s="4"/>
      <c r="B629" s="4"/>
      <c r="C629" s="4"/>
      <c r="D629" s="4"/>
      <c r="E629" s="4"/>
      <c r="F629" s="4"/>
      <c r="G629" s="4"/>
      <c r="H629" s="4"/>
      <c r="I629" s="4"/>
      <c r="J629" s="4"/>
      <c r="K629" s="4"/>
    </row>
    <row r="630" ht="15.75" customHeight="1">
      <c r="A630" s="4"/>
      <c r="B630" s="4"/>
      <c r="C630" s="4"/>
      <c r="D630" s="4"/>
      <c r="E630" s="4"/>
      <c r="F630" s="4"/>
      <c r="G630" s="4"/>
      <c r="H630" s="4"/>
      <c r="I630" s="4"/>
      <c r="J630" s="4"/>
      <c r="K630" s="4"/>
    </row>
    <row r="631" ht="15.75" customHeight="1">
      <c r="A631" s="4"/>
      <c r="B631" s="4"/>
      <c r="C631" s="4"/>
      <c r="D631" s="4"/>
      <c r="E631" s="4"/>
      <c r="F631" s="4"/>
      <c r="G631" s="4"/>
      <c r="H631" s="4"/>
      <c r="I631" s="4"/>
      <c r="J631" s="4"/>
      <c r="K631" s="4"/>
    </row>
    <row r="632" ht="15.75" customHeight="1">
      <c r="A632" s="4"/>
      <c r="B632" s="4"/>
      <c r="C632" s="4"/>
      <c r="D632" s="4"/>
      <c r="E632" s="4"/>
      <c r="F632" s="4"/>
      <c r="G632" s="4"/>
      <c r="H632" s="4"/>
      <c r="I632" s="4"/>
      <c r="J632" s="4"/>
      <c r="K632" s="4"/>
    </row>
    <row r="633" ht="15.75" customHeight="1">
      <c r="A633" s="4"/>
      <c r="B633" s="4"/>
      <c r="C633" s="4"/>
      <c r="D633" s="4"/>
      <c r="E633" s="4"/>
      <c r="F633" s="4"/>
      <c r="G633" s="4"/>
      <c r="H633" s="4"/>
      <c r="I633" s="4"/>
      <c r="J633" s="4"/>
      <c r="K633" s="4"/>
    </row>
    <row r="634" ht="15.75" customHeight="1">
      <c r="A634" s="4"/>
      <c r="B634" s="4"/>
      <c r="C634" s="4"/>
      <c r="D634" s="4"/>
      <c r="E634" s="4"/>
      <c r="F634" s="4"/>
      <c r="G634" s="4"/>
      <c r="H634" s="4"/>
      <c r="I634" s="4"/>
      <c r="J634" s="4"/>
      <c r="K634" s="4"/>
    </row>
    <row r="635" ht="15.75" customHeight="1">
      <c r="A635" s="4"/>
      <c r="B635" s="4"/>
      <c r="C635" s="4"/>
      <c r="D635" s="4"/>
      <c r="E635" s="4"/>
      <c r="F635" s="4"/>
      <c r="G635" s="4"/>
      <c r="H635" s="4"/>
      <c r="I635" s="4"/>
      <c r="J635" s="4"/>
      <c r="K635" s="4"/>
    </row>
    <row r="636" ht="15.75" customHeight="1">
      <c r="A636" s="4"/>
      <c r="B636" s="4"/>
      <c r="C636" s="4"/>
      <c r="D636" s="4"/>
      <c r="E636" s="4"/>
      <c r="F636" s="4"/>
      <c r="G636" s="4"/>
      <c r="H636" s="4"/>
      <c r="I636" s="4"/>
      <c r="J636" s="4"/>
      <c r="K636" s="4"/>
    </row>
    <row r="637" ht="15.75" customHeight="1">
      <c r="A637" s="4"/>
      <c r="B637" s="4"/>
      <c r="C637" s="4"/>
      <c r="D637" s="4"/>
      <c r="E637" s="4"/>
      <c r="F637" s="4"/>
      <c r="G637" s="4"/>
      <c r="H637" s="4"/>
      <c r="I637" s="4"/>
      <c r="J637" s="4"/>
      <c r="K637" s="4"/>
    </row>
    <row r="638" ht="15.75" customHeight="1">
      <c r="A638" s="4"/>
      <c r="B638" s="4"/>
      <c r="C638" s="4"/>
      <c r="D638" s="4"/>
      <c r="E638" s="4"/>
      <c r="F638" s="4"/>
      <c r="G638" s="4"/>
      <c r="H638" s="4"/>
      <c r="I638" s="4"/>
      <c r="J638" s="4"/>
      <c r="K638" s="4"/>
    </row>
    <row r="639" ht="15.75" customHeight="1">
      <c r="A639" s="4"/>
      <c r="B639" s="4"/>
      <c r="C639" s="4"/>
      <c r="D639" s="4"/>
      <c r="E639" s="4"/>
      <c r="F639" s="4"/>
      <c r="G639" s="4"/>
      <c r="H639" s="4"/>
      <c r="I639" s="4"/>
      <c r="J639" s="4"/>
      <c r="K639" s="4"/>
    </row>
    <row r="640" ht="15.75" customHeight="1">
      <c r="A640" s="4"/>
      <c r="B640" s="4"/>
      <c r="C640" s="4"/>
      <c r="D640" s="4"/>
      <c r="E640" s="4"/>
      <c r="F640" s="4"/>
      <c r="G640" s="4"/>
      <c r="H640" s="4"/>
      <c r="I640" s="4"/>
      <c r="J640" s="4"/>
      <c r="K640" s="4"/>
    </row>
    <row r="641" ht="15.75" customHeight="1">
      <c r="A641" s="4"/>
      <c r="B641" s="4"/>
      <c r="C641" s="4"/>
      <c r="D641" s="4"/>
      <c r="E641" s="4"/>
      <c r="F641" s="4"/>
      <c r="G641" s="4"/>
      <c r="H641" s="4"/>
      <c r="I641" s="4"/>
      <c r="J641" s="4"/>
      <c r="K641" s="4"/>
    </row>
    <row r="642" ht="15.75" customHeight="1">
      <c r="A642" s="4"/>
      <c r="B642" s="4"/>
      <c r="C642" s="4"/>
      <c r="D642" s="4"/>
      <c r="E642" s="4"/>
      <c r="F642" s="4"/>
      <c r="G642" s="4"/>
      <c r="H642" s="4"/>
      <c r="I642" s="4"/>
      <c r="J642" s="4"/>
      <c r="K642" s="4"/>
    </row>
    <row r="643" ht="15.75" customHeight="1">
      <c r="A643" s="4"/>
      <c r="B643" s="4"/>
      <c r="C643" s="4"/>
      <c r="D643" s="4"/>
      <c r="E643" s="4"/>
      <c r="F643" s="4"/>
      <c r="G643" s="4"/>
      <c r="H643" s="4"/>
      <c r="I643" s="4"/>
      <c r="J643" s="4"/>
      <c r="K643" s="4"/>
    </row>
    <row r="644" ht="15.75" customHeight="1">
      <c r="A644" s="4"/>
      <c r="B644" s="4"/>
      <c r="C644" s="4"/>
      <c r="D644" s="4"/>
      <c r="E644" s="4"/>
      <c r="F644" s="4"/>
      <c r="G644" s="4"/>
      <c r="H644" s="4"/>
      <c r="I644" s="4"/>
      <c r="J644" s="4"/>
      <c r="K644" s="4"/>
    </row>
    <row r="645" ht="15.75" customHeight="1">
      <c r="A645" s="4"/>
      <c r="B645" s="4"/>
      <c r="C645" s="4"/>
      <c r="D645" s="4"/>
      <c r="E645" s="4"/>
      <c r="F645" s="4"/>
      <c r="G645" s="4"/>
      <c r="H645" s="4"/>
      <c r="I645" s="4"/>
      <c r="J645" s="4"/>
      <c r="K645" s="4"/>
    </row>
    <row r="646" ht="15.75" customHeight="1">
      <c r="A646" s="4"/>
      <c r="B646" s="4"/>
      <c r="C646" s="4"/>
      <c r="D646" s="4"/>
      <c r="E646" s="4"/>
      <c r="F646" s="4"/>
      <c r="G646" s="4"/>
      <c r="H646" s="4"/>
      <c r="I646" s="4"/>
      <c r="J646" s="4"/>
      <c r="K646" s="4"/>
    </row>
    <row r="647" ht="15.75" customHeight="1">
      <c r="A647" s="4"/>
      <c r="B647" s="4"/>
      <c r="C647" s="4"/>
      <c r="D647" s="4"/>
      <c r="E647" s="4"/>
      <c r="F647" s="4"/>
      <c r="G647" s="4"/>
      <c r="H647" s="4"/>
      <c r="I647" s="4"/>
      <c r="J647" s="4"/>
      <c r="K647" s="4"/>
    </row>
    <row r="648" ht="15.75" customHeight="1">
      <c r="A648" s="4"/>
      <c r="B648" s="4"/>
      <c r="C648" s="4"/>
      <c r="D648" s="4"/>
      <c r="E648" s="4"/>
      <c r="F648" s="4"/>
      <c r="G648" s="4"/>
      <c r="H648" s="4"/>
      <c r="I648" s="4"/>
      <c r="J648" s="4"/>
      <c r="K648" s="4"/>
    </row>
    <row r="649" ht="15.75" customHeight="1">
      <c r="A649" s="4"/>
      <c r="B649" s="4"/>
      <c r="C649" s="4"/>
      <c r="D649" s="4"/>
      <c r="E649" s="4"/>
      <c r="F649" s="4"/>
      <c r="G649" s="4"/>
      <c r="H649" s="4"/>
      <c r="I649" s="4"/>
      <c r="J649" s="4"/>
      <c r="K649" s="4"/>
    </row>
    <row r="650" ht="15.75" customHeight="1">
      <c r="A650" s="4"/>
      <c r="B650" s="4"/>
      <c r="C650" s="4"/>
      <c r="D650" s="4"/>
      <c r="E650" s="4"/>
      <c r="F650" s="4"/>
      <c r="G650" s="4"/>
      <c r="H650" s="4"/>
      <c r="I650" s="4"/>
      <c r="J650" s="4"/>
      <c r="K650" s="4"/>
    </row>
    <row r="651" ht="15.75" customHeight="1">
      <c r="A651" s="4"/>
      <c r="B651" s="4"/>
      <c r="C651" s="4"/>
      <c r="D651" s="4"/>
      <c r="E651" s="4"/>
      <c r="F651" s="4"/>
      <c r="G651" s="4"/>
      <c r="H651" s="4"/>
      <c r="I651" s="4"/>
      <c r="J651" s="4"/>
      <c r="K651" s="4"/>
    </row>
    <row r="652" ht="15.75" customHeight="1">
      <c r="A652" s="4"/>
      <c r="B652" s="4"/>
      <c r="C652" s="4"/>
      <c r="D652" s="4"/>
      <c r="E652" s="4"/>
      <c r="F652" s="4"/>
      <c r="G652" s="4"/>
      <c r="H652" s="4"/>
      <c r="I652" s="4"/>
      <c r="J652" s="4"/>
      <c r="K652" s="4"/>
    </row>
    <row r="653" ht="15.75" customHeight="1">
      <c r="A653" s="4"/>
      <c r="B653" s="4"/>
      <c r="C653" s="4"/>
      <c r="D653" s="4"/>
      <c r="E653" s="4"/>
      <c r="F653" s="4"/>
      <c r="G653" s="4"/>
      <c r="H653" s="4"/>
      <c r="I653" s="4"/>
      <c r="J653" s="4"/>
      <c r="K653" s="4"/>
    </row>
    <row r="654" ht="15.75" customHeight="1">
      <c r="A654" s="4"/>
      <c r="B654" s="4"/>
      <c r="C654" s="4"/>
      <c r="D654" s="4"/>
      <c r="E654" s="4"/>
      <c r="F654" s="4"/>
      <c r="G654" s="4"/>
      <c r="H654" s="4"/>
      <c r="I654" s="4"/>
      <c r="J654" s="4"/>
      <c r="K654" s="4"/>
    </row>
    <row r="655" ht="15.75" customHeight="1">
      <c r="A655" s="4"/>
      <c r="B655" s="4"/>
      <c r="C655" s="4"/>
      <c r="D655" s="4"/>
      <c r="E655" s="4"/>
      <c r="F655" s="4"/>
      <c r="G655" s="4"/>
      <c r="H655" s="4"/>
      <c r="I655" s="4"/>
      <c r="J655" s="4"/>
      <c r="K655" s="4"/>
    </row>
    <row r="656" ht="15.75" customHeight="1">
      <c r="A656" s="4"/>
      <c r="B656" s="4"/>
      <c r="C656" s="4"/>
      <c r="D656" s="4"/>
      <c r="E656" s="4"/>
      <c r="F656" s="4"/>
      <c r="G656" s="4"/>
      <c r="H656" s="4"/>
      <c r="I656" s="4"/>
      <c r="J656" s="4"/>
      <c r="K656" s="4"/>
    </row>
    <row r="657" ht="15.75" customHeight="1">
      <c r="A657" s="4"/>
      <c r="B657" s="4"/>
      <c r="C657" s="4"/>
      <c r="D657" s="4"/>
      <c r="E657" s="4"/>
      <c r="F657" s="4"/>
      <c r="G657" s="4"/>
      <c r="H657" s="4"/>
      <c r="I657" s="4"/>
      <c r="J657" s="4"/>
      <c r="K657" s="4"/>
    </row>
    <row r="658" ht="15.75" customHeight="1">
      <c r="A658" s="4"/>
      <c r="B658" s="4"/>
      <c r="C658" s="4"/>
      <c r="D658" s="4"/>
      <c r="E658" s="4"/>
      <c r="F658" s="4"/>
      <c r="G658" s="4"/>
      <c r="H658" s="4"/>
      <c r="I658" s="4"/>
      <c r="J658" s="4"/>
      <c r="K658" s="4"/>
    </row>
    <row r="659" ht="15.75" customHeight="1">
      <c r="A659" s="4"/>
      <c r="B659" s="4"/>
      <c r="C659" s="4"/>
      <c r="D659" s="4"/>
      <c r="E659" s="4"/>
      <c r="F659" s="4"/>
      <c r="G659" s="4"/>
      <c r="H659" s="4"/>
      <c r="I659" s="4"/>
      <c r="J659" s="4"/>
      <c r="K659" s="4"/>
    </row>
    <row r="660" ht="15.75" customHeight="1">
      <c r="A660" s="4"/>
      <c r="B660" s="4"/>
      <c r="C660" s="4"/>
      <c r="D660" s="4"/>
      <c r="E660" s="4"/>
      <c r="F660" s="4"/>
      <c r="G660" s="4"/>
      <c r="H660" s="4"/>
      <c r="I660" s="4"/>
      <c r="J660" s="4"/>
      <c r="K660" s="4"/>
    </row>
    <row r="661" ht="15.75" customHeight="1">
      <c r="A661" s="4"/>
      <c r="B661" s="4"/>
      <c r="C661" s="4"/>
      <c r="D661" s="4"/>
      <c r="E661" s="4"/>
      <c r="F661" s="4"/>
      <c r="G661" s="4"/>
      <c r="H661" s="4"/>
      <c r="I661" s="4"/>
      <c r="J661" s="4"/>
      <c r="K661" s="4"/>
    </row>
    <row r="662" ht="15.75" customHeight="1">
      <c r="A662" s="4"/>
      <c r="B662" s="4"/>
      <c r="C662" s="4"/>
      <c r="D662" s="4"/>
      <c r="E662" s="4"/>
      <c r="F662" s="4"/>
      <c r="G662" s="4"/>
      <c r="H662" s="4"/>
      <c r="I662" s="4"/>
      <c r="J662" s="4"/>
      <c r="K662" s="4"/>
    </row>
    <row r="663" ht="15.75" customHeight="1">
      <c r="A663" s="4"/>
      <c r="B663" s="4"/>
      <c r="C663" s="4"/>
      <c r="D663" s="4"/>
      <c r="E663" s="4"/>
      <c r="F663" s="4"/>
      <c r="G663" s="4"/>
      <c r="H663" s="4"/>
      <c r="I663" s="4"/>
      <c r="J663" s="4"/>
      <c r="K663" s="4"/>
    </row>
    <row r="664" ht="15.75" customHeight="1">
      <c r="A664" s="4"/>
      <c r="B664" s="4"/>
      <c r="C664" s="4"/>
      <c r="D664" s="4"/>
      <c r="E664" s="4"/>
      <c r="F664" s="4"/>
      <c r="G664" s="4"/>
      <c r="H664" s="4"/>
      <c r="I664" s="4"/>
      <c r="J664" s="4"/>
      <c r="K664" s="4"/>
    </row>
    <row r="665" ht="15.75" customHeight="1">
      <c r="A665" s="4"/>
      <c r="B665" s="4"/>
      <c r="C665" s="4"/>
      <c r="D665" s="4"/>
      <c r="E665" s="4"/>
      <c r="F665" s="4"/>
      <c r="G665" s="4"/>
      <c r="H665" s="4"/>
      <c r="I665" s="4"/>
      <c r="J665" s="4"/>
      <c r="K665" s="4"/>
    </row>
    <row r="666" ht="15.75" customHeight="1">
      <c r="A666" s="4"/>
      <c r="B666" s="4"/>
      <c r="C666" s="4"/>
      <c r="D666" s="4"/>
      <c r="E666" s="4"/>
      <c r="F666" s="4"/>
      <c r="G666" s="4"/>
      <c r="H666" s="4"/>
      <c r="I666" s="4"/>
      <c r="J666" s="4"/>
      <c r="K666" s="4"/>
    </row>
    <row r="667" ht="15.75" customHeight="1">
      <c r="A667" s="4"/>
      <c r="B667" s="4"/>
      <c r="C667" s="4"/>
      <c r="D667" s="4"/>
      <c r="E667" s="4"/>
      <c r="F667" s="4"/>
      <c r="G667" s="4"/>
      <c r="H667" s="4"/>
      <c r="I667" s="4"/>
      <c r="J667" s="4"/>
      <c r="K667" s="4"/>
    </row>
    <row r="668" ht="15.75" customHeight="1">
      <c r="A668" s="4"/>
      <c r="B668" s="4"/>
      <c r="C668" s="4"/>
      <c r="D668" s="4"/>
      <c r="E668" s="4"/>
      <c r="F668" s="4"/>
      <c r="G668" s="4"/>
      <c r="H668" s="4"/>
      <c r="I668" s="4"/>
      <c r="J668" s="4"/>
      <c r="K668" s="4"/>
    </row>
    <row r="669" ht="15.75" customHeight="1">
      <c r="A669" s="4"/>
      <c r="B669" s="4"/>
      <c r="C669" s="4"/>
      <c r="D669" s="4"/>
      <c r="E669" s="4"/>
      <c r="F669" s="4"/>
      <c r="G669" s="4"/>
      <c r="H669" s="4"/>
      <c r="I669" s="4"/>
      <c r="J669" s="4"/>
      <c r="K669" s="4"/>
    </row>
    <row r="670" ht="15.75" customHeight="1">
      <c r="A670" s="4"/>
      <c r="B670" s="4"/>
      <c r="C670" s="4"/>
      <c r="D670" s="4"/>
      <c r="E670" s="4"/>
      <c r="F670" s="4"/>
      <c r="G670" s="4"/>
      <c r="H670" s="4"/>
      <c r="I670" s="4"/>
      <c r="J670" s="4"/>
      <c r="K670" s="4"/>
    </row>
    <row r="671" ht="15.75" customHeight="1">
      <c r="A671" s="4"/>
      <c r="B671" s="4"/>
      <c r="C671" s="4"/>
      <c r="D671" s="4"/>
      <c r="E671" s="4"/>
      <c r="F671" s="4"/>
      <c r="G671" s="4"/>
      <c r="H671" s="4"/>
      <c r="I671" s="4"/>
      <c r="J671" s="4"/>
      <c r="K671" s="4"/>
    </row>
    <row r="672" ht="15.75" customHeight="1">
      <c r="A672" s="4"/>
      <c r="B672" s="4"/>
      <c r="C672" s="4"/>
      <c r="D672" s="4"/>
      <c r="E672" s="4"/>
      <c r="F672" s="4"/>
      <c r="G672" s="4"/>
      <c r="H672" s="4"/>
      <c r="I672" s="4"/>
      <c r="J672" s="4"/>
      <c r="K672" s="4"/>
    </row>
    <row r="673" ht="15.75" customHeight="1">
      <c r="A673" s="4"/>
      <c r="B673" s="4"/>
      <c r="C673" s="4"/>
      <c r="D673" s="4"/>
      <c r="E673" s="4"/>
      <c r="F673" s="4"/>
      <c r="G673" s="4"/>
      <c r="H673" s="4"/>
      <c r="I673" s="4"/>
      <c r="J673" s="4"/>
      <c r="K673" s="4"/>
    </row>
    <row r="674" ht="15.75" customHeight="1">
      <c r="A674" s="4"/>
      <c r="B674" s="4"/>
      <c r="C674" s="4"/>
      <c r="D674" s="4"/>
      <c r="E674" s="4"/>
      <c r="F674" s="4"/>
      <c r="G674" s="4"/>
      <c r="H674" s="4"/>
      <c r="I674" s="4"/>
      <c r="J674" s="4"/>
      <c r="K674" s="4"/>
    </row>
    <row r="675" ht="15.75" customHeight="1">
      <c r="A675" s="4"/>
      <c r="B675" s="4"/>
      <c r="C675" s="4"/>
      <c r="D675" s="4"/>
      <c r="E675" s="4"/>
      <c r="F675" s="4"/>
      <c r="G675" s="4"/>
      <c r="H675" s="4"/>
      <c r="I675" s="4"/>
      <c r="J675" s="4"/>
      <c r="K675" s="4"/>
    </row>
    <row r="676" ht="15.75" customHeight="1">
      <c r="A676" s="4"/>
      <c r="B676" s="4"/>
      <c r="C676" s="4"/>
      <c r="D676" s="4"/>
      <c r="E676" s="4"/>
      <c r="F676" s="4"/>
      <c r="G676" s="4"/>
      <c r="H676" s="4"/>
      <c r="I676" s="4"/>
      <c r="J676" s="4"/>
      <c r="K676" s="4"/>
    </row>
    <row r="677" ht="15.75" customHeight="1">
      <c r="A677" s="4"/>
      <c r="B677" s="4"/>
      <c r="C677" s="4"/>
      <c r="D677" s="4"/>
      <c r="E677" s="4"/>
      <c r="F677" s="4"/>
      <c r="G677" s="4"/>
      <c r="H677" s="4"/>
      <c r="I677" s="4"/>
      <c r="J677" s="4"/>
      <c r="K677" s="4"/>
    </row>
    <row r="678" ht="15.75" customHeight="1">
      <c r="A678" s="4"/>
      <c r="B678" s="4"/>
      <c r="C678" s="4"/>
      <c r="D678" s="4"/>
      <c r="E678" s="4"/>
      <c r="F678" s="4"/>
      <c r="G678" s="4"/>
      <c r="H678" s="4"/>
      <c r="I678" s="4"/>
      <c r="J678" s="4"/>
      <c r="K678" s="4"/>
    </row>
    <row r="679" ht="15.75" customHeight="1">
      <c r="A679" s="4"/>
      <c r="B679" s="4"/>
      <c r="C679" s="4"/>
      <c r="D679" s="4"/>
      <c r="E679" s="4"/>
      <c r="F679" s="4"/>
      <c r="G679" s="4"/>
      <c r="H679" s="4"/>
      <c r="I679" s="4"/>
      <c r="J679" s="4"/>
      <c r="K679" s="4"/>
    </row>
    <row r="680" ht="15.75" customHeight="1">
      <c r="A680" s="4"/>
      <c r="B680" s="4"/>
      <c r="C680" s="4"/>
      <c r="D680" s="4"/>
      <c r="E680" s="4"/>
      <c r="F680" s="4"/>
      <c r="G680" s="4"/>
      <c r="H680" s="4"/>
      <c r="I680" s="4"/>
      <c r="J680" s="4"/>
      <c r="K680" s="4"/>
    </row>
    <row r="681" ht="15.75" customHeight="1">
      <c r="A681" s="4"/>
      <c r="B681" s="4"/>
      <c r="C681" s="4"/>
      <c r="D681" s="4"/>
      <c r="E681" s="4"/>
      <c r="F681" s="4"/>
      <c r="G681" s="4"/>
      <c r="H681" s="4"/>
      <c r="I681" s="4"/>
      <c r="J681" s="4"/>
      <c r="K681" s="4"/>
    </row>
    <row r="682" ht="15.75" customHeight="1">
      <c r="A682" s="4"/>
      <c r="B682" s="4"/>
      <c r="C682" s="4"/>
      <c r="D682" s="4"/>
      <c r="E682" s="4"/>
      <c r="F682" s="4"/>
      <c r="G682" s="4"/>
      <c r="H682" s="4"/>
      <c r="I682" s="4"/>
      <c r="J682" s="4"/>
      <c r="K682" s="4"/>
    </row>
    <row r="683" ht="15.75" customHeight="1">
      <c r="A683" s="4"/>
      <c r="B683" s="4"/>
      <c r="C683" s="4"/>
      <c r="D683" s="4"/>
      <c r="E683" s="4"/>
      <c r="F683" s="4"/>
      <c r="G683" s="4"/>
      <c r="H683" s="4"/>
      <c r="I683" s="4"/>
      <c r="J683" s="4"/>
      <c r="K683" s="4"/>
    </row>
    <row r="684" ht="15.75" customHeight="1">
      <c r="A684" s="4"/>
      <c r="B684" s="4"/>
      <c r="C684" s="4"/>
      <c r="D684" s="4"/>
      <c r="E684" s="4"/>
      <c r="F684" s="4"/>
      <c r="G684" s="4"/>
      <c r="H684" s="4"/>
      <c r="I684" s="4"/>
      <c r="J684" s="4"/>
      <c r="K684" s="4"/>
    </row>
    <row r="685" ht="15.75" customHeight="1">
      <c r="A685" s="4"/>
      <c r="B685" s="4"/>
      <c r="C685" s="4"/>
      <c r="D685" s="4"/>
      <c r="E685" s="4"/>
      <c r="F685" s="4"/>
      <c r="G685" s="4"/>
      <c r="H685" s="4"/>
      <c r="I685" s="4"/>
      <c r="J685" s="4"/>
      <c r="K685" s="4"/>
    </row>
    <row r="686" ht="15.75" customHeight="1">
      <c r="A686" s="4"/>
      <c r="B686" s="4"/>
      <c r="C686" s="4"/>
      <c r="D686" s="4"/>
      <c r="E686" s="4"/>
      <c r="F686" s="4"/>
      <c r="G686" s="4"/>
      <c r="H686" s="4"/>
      <c r="I686" s="4"/>
      <c r="J686" s="4"/>
      <c r="K686" s="4"/>
    </row>
    <row r="687" ht="15.75" customHeight="1">
      <c r="A687" s="4"/>
      <c r="B687" s="4"/>
      <c r="C687" s="4"/>
      <c r="D687" s="4"/>
      <c r="E687" s="4"/>
      <c r="F687" s="4"/>
      <c r="G687" s="4"/>
      <c r="H687" s="4"/>
      <c r="I687" s="4"/>
      <c r="J687" s="4"/>
      <c r="K687" s="4"/>
    </row>
    <row r="688" ht="15.75" customHeight="1">
      <c r="A688" s="4"/>
      <c r="B688" s="4"/>
      <c r="C688" s="4"/>
      <c r="D688" s="4"/>
      <c r="E688" s="4"/>
      <c r="F688" s="4"/>
      <c r="G688" s="4"/>
      <c r="H688" s="4"/>
      <c r="I688" s="4"/>
      <c r="J688" s="4"/>
      <c r="K688" s="4"/>
    </row>
    <row r="689" ht="15.75" customHeight="1">
      <c r="A689" s="4"/>
      <c r="B689" s="4"/>
      <c r="C689" s="4"/>
      <c r="D689" s="4"/>
      <c r="E689" s="4"/>
      <c r="F689" s="4"/>
      <c r="G689" s="4"/>
      <c r="H689" s="4"/>
      <c r="I689" s="4"/>
      <c r="J689" s="4"/>
      <c r="K689" s="4"/>
    </row>
    <row r="690" ht="15.75" customHeight="1">
      <c r="A690" s="4"/>
      <c r="B690" s="4"/>
      <c r="C690" s="4"/>
      <c r="D690" s="4"/>
      <c r="E690" s="4"/>
      <c r="F690" s="4"/>
      <c r="G690" s="4"/>
      <c r="H690" s="4"/>
      <c r="I690" s="4"/>
      <c r="J690" s="4"/>
      <c r="K690" s="4"/>
    </row>
    <row r="691" ht="15.75" customHeight="1">
      <c r="A691" s="4"/>
      <c r="B691" s="4"/>
      <c r="C691" s="4"/>
      <c r="D691" s="4"/>
      <c r="E691" s="4"/>
      <c r="F691" s="4"/>
      <c r="G691" s="4"/>
      <c r="H691" s="4"/>
      <c r="I691" s="4"/>
      <c r="J691" s="4"/>
      <c r="K691" s="4"/>
    </row>
    <row r="692" ht="15.75" customHeight="1">
      <c r="A692" s="4"/>
      <c r="B692" s="4"/>
      <c r="C692" s="4"/>
      <c r="D692" s="4"/>
      <c r="E692" s="4"/>
      <c r="F692" s="4"/>
      <c r="G692" s="4"/>
      <c r="H692" s="4"/>
      <c r="I692" s="4"/>
      <c r="J692" s="4"/>
      <c r="K692" s="4"/>
    </row>
    <row r="693" ht="15.75" customHeight="1">
      <c r="A693" s="4"/>
      <c r="B693" s="4"/>
      <c r="C693" s="4"/>
      <c r="D693" s="4"/>
      <c r="E693" s="4"/>
      <c r="F693" s="4"/>
      <c r="G693" s="4"/>
      <c r="H693" s="4"/>
      <c r="I693" s="4"/>
      <c r="J693" s="4"/>
      <c r="K693" s="4"/>
    </row>
    <row r="694" ht="15.75" customHeight="1">
      <c r="A694" s="4"/>
      <c r="B694" s="4"/>
      <c r="C694" s="4"/>
      <c r="D694" s="4"/>
      <c r="E694" s="4"/>
      <c r="F694" s="4"/>
      <c r="G694" s="4"/>
      <c r="H694" s="4"/>
      <c r="I694" s="4"/>
      <c r="J694" s="4"/>
      <c r="K694" s="4"/>
    </row>
    <row r="695" ht="15.75" customHeight="1">
      <c r="A695" s="4"/>
      <c r="B695" s="4"/>
      <c r="C695" s="4"/>
      <c r="D695" s="4"/>
      <c r="E695" s="4"/>
      <c r="F695" s="4"/>
      <c r="G695" s="4"/>
      <c r="H695" s="4"/>
      <c r="I695" s="4"/>
      <c r="J695" s="4"/>
      <c r="K695" s="4"/>
    </row>
    <row r="696" ht="15.75" customHeight="1">
      <c r="A696" s="4"/>
      <c r="B696" s="4"/>
      <c r="C696" s="4"/>
      <c r="D696" s="4"/>
      <c r="E696" s="4"/>
      <c r="F696" s="4"/>
      <c r="G696" s="4"/>
      <c r="H696" s="4"/>
      <c r="I696" s="4"/>
      <c r="J696" s="4"/>
      <c r="K696" s="4"/>
    </row>
    <row r="697" ht="15.75" customHeight="1">
      <c r="A697" s="4"/>
      <c r="B697" s="4"/>
      <c r="C697" s="4"/>
      <c r="D697" s="4"/>
      <c r="E697" s="4"/>
      <c r="F697" s="4"/>
      <c r="G697" s="4"/>
      <c r="H697" s="4"/>
      <c r="I697" s="4"/>
      <c r="J697" s="4"/>
      <c r="K697" s="4"/>
    </row>
    <row r="698" ht="15.75" customHeight="1">
      <c r="A698" s="4"/>
      <c r="B698" s="4"/>
      <c r="C698" s="4"/>
      <c r="D698" s="4"/>
      <c r="E698" s="4"/>
      <c r="F698" s="4"/>
      <c r="G698" s="4"/>
      <c r="H698" s="4"/>
      <c r="I698" s="4"/>
      <c r="J698" s="4"/>
      <c r="K698" s="4"/>
    </row>
    <row r="699" ht="15.75" customHeight="1">
      <c r="A699" s="4"/>
      <c r="B699" s="4"/>
      <c r="C699" s="4"/>
      <c r="D699" s="4"/>
      <c r="E699" s="4"/>
      <c r="F699" s="4"/>
      <c r="G699" s="4"/>
      <c r="H699" s="4"/>
      <c r="I699" s="4"/>
      <c r="J699" s="4"/>
      <c r="K699" s="4"/>
    </row>
    <row r="700" ht="15.75" customHeight="1">
      <c r="A700" s="4"/>
      <c r="B700" s="4"/>
      <c r="C700" s="4"/>
      <c r="D700" s="4"/>
      <c r="E700" s="4"/>
      <c r="F700" s="4"/>
      <c r="G700" s="4"/>
      <c r="H700" s="4"/>
      <c r="I700" s="4"/>
      <c r="J700" s="4"/>
      <c r="K700" s="4"/>
    </row>
    <row r="701" ht="15.75" customHeight="1">
      <c r="A701" s="4"/>
      <c r="B701" s="4"/>
      <c r="C701" s="4"/>
      <c r="D701" s="4"/>
      <c r="E701" s="4"/>
      <c r="F701" s="4"/>
      <c r="G701" s="4"/>
      <c r="H701" s="4"/>
      <c r="I701" s="4"/>
      <c r="J701" s="4"/>
      <c r="K701" s="4"/>
    </row>
    <row r="702" ht="15.75" customHeight="1">
      <c r="A702" s="4"/>
      <c r="B702" s="4"/>
      <c r="C702" s="4"/>
      <c r="D702" s="4"/>
      <c r="E702" s="4"/>
      <c r="F702" s="4"/>
      <c r="G702" s="4"/>
      <c r="H702" s="4"/>
      <c r="I702" s="4"/>
      <c r="J702" s="4"/>
      <c r="K702" s="4"/>
    </row>
    <row r="703" ht="15.75" customHeight="1">
      <c r="A703" s="4"/>
      <c r="B703" s="4"/>
      <c r="C703" s="4"/>
      <c r="D703" s="4"/>
      <c r="E703" s="4"/>
      <c r="F703" s="4"/>
      <c r="G703" s="4"/>
      <c r="H703" s="4"/>
      <c r="I703" s="4"/>
      <c r="J703" s="4"/>
      <c r="K703" s="4"/>
    </row>
    <row r="704" ht="15.75" customHeight="1">
      <c r="A704" s="4"/>
      <c r="B704" s="4"/>
      <c r="C704" s="4"/>
      <c r="D704" s="4"/>
      <c r="E704" s="4"/>
      <c r="F704" s="4"/>
      <c r="G704" s="4"/>
      <c r="H704" s="4"/>
      <c r="I704" s="4"/>
      <c r="J704" s="4"/>
      <c r="K704" s="4"/>
    </row>
    <row r="705" ht="15.75" customHeight="1">
      <c r="A705" s="4"/>
      <c r="B705" s="4"/>
      <c r="C705" s="4"/>
      <c r="D705" s="4"/>
      <c r="E705" s="4"/>
      <c r="F705" s="4"/>
      <c r="G705" s="4"/>
      <c r="H705" s="4"/>
      <c r="I705" s="4"/>
      <c r="J705" s="4"/>
      <c r="K705" s="4"/>
    </row>
    <row r="706" ht="15.75" customHeight="1">
      <c r="A706" s="4"/>
      <c r="B706" s="4"/>
      <c r="C706" s="4"/>
      <c r="D706" s="4"/>
      <c r="E706" s="4"/>
      <c r="F706" s="4"/>
      <c r="G706" s="4"/>
      <c r="H706" s="4"/>
      <c r="I706" s="4"/>
      <c r="J706" s="4"/>
      <c r="K706" s="4"/>
    </row>
    <row r="707" ht="15.75" customHeight="1">
      <c r="A707" s="4"/>
      <c r="B707" s="4"/>
      <c r="C707" s="4"/>
      <c r="D707" s="4"/>
      <c r="E707" s="4"/>
      <c r="F707" s="4"/>
      <c r="G707" s="4"/>
      <c r="H707" s="4"/>
      <c r="I707" s="4"/>
      <c r="J707" s="4"/>
      <c r="K707" s="4"/>
    </row>
    <row r="708" ht="15.75" customHeight="1">
      <c r="A708" s="4"/>
      <c r="B708" s="4"/>
      <c r="C708" s="4"/>
      <c r="D708" s="4"/>
      <c r="E708" s="4"/>
      <c r="F708" s="4"/>
      <c r="G708" s="4"/>
      <c r="H708" s="4"/>
      <c r="I708" s="4"/>
      <c r="J708" s="4"/>
      <c r="K708" s="4"/>
    </row>
    <row r="709" ht="15.75" customHeight="1">
      <c r="A709" s="4"/>
      <c r="B709" s="4"/>
      <c r="C709" s="4"/>
      <c r="D709" s="4"/>
      <c r="E709" s="4"/>
      <c r="F709" s="4"/>
      <c r="G709" s="4"/>
      <c r="H709" s="4"/>
      <c r="I709" s="4"/>
      <c r="J709" s="4"/>
      <c r="K709" s="4"/>
    </row>
    <row r="710" ht="15.75" customHeight="1">
      <c r="A710" s="4"/>
      <c r="B710" s="4"/>
      <c r="C710" s="4"/>
      <c r="D710" s="4"/>
      <c r="E710" s="4"/>
      <c r="F710" s="4"/>
      <c r="G710" s="4"/>
      <c r="H710" s="4"/>
      <c r="I710" s="4"/>
      <c r="J710" s="4"/>
      <c r="K710" s="4"/>
    </row>
    <row r="711" ht="15.75" customHeight="1">
      <c r="A711" s="4"/>
      <c r="B711" s="4"/>
      <c r="C711" s="4"/>
      <c r="D711" s="4"/>
      <c r="E711" s="4"/>
      <c r="F711" s="4"/>
      <c r="G711" s="4"/>
      <c r="H711" s="4"/>
      <c r="I711" s="4"/>
      <c r="J711" s="4"/>
      <c r="K711" s="4"/>
    </row>
    <row r="712" ht="15.75" customHeight="1">
      <c r="A712" s="4"/>
      <c r="B712" s="4"/>
      <c r="C712" s="4"/>
      <c r="D712" s="4"/>
      <c r="E712" s="4"/>
      <c r="F712" s="4"/>
      <c r="G712" s="4"/>
      <c r="H712" s="4"/>
      <c r="I712" s="4"/>
      <c r="J712" s="4"/>
      <c r="K712" s="4"/>
    </row>
    <row r="713" ht="15.75" customHeight="1">
      <c r="A713" s="4"/>
      <c r="B713" s="4"/>
      <c r="C713" s="4"/>
      <c r="D713" s="4"/>
      <c r="E713" s="4"/>
      <c r="F713" s="4"/>
      <c r="G713" s="4"/>
      <c r="H713" s="4"/>
      <c r="I713" s="4"/>
      <c r="J713" s="4"/>
      <c r="K713" s="4"/>
    </row>
    <row r="714" ht="15.75" customHeight="1">
      <c r="A714" s="4"/>
      <c r="B714" s="4"/>
      <c r="C714" s="4"/>
      <c r="D714" s="4"/>
      <c r="E714" s="4"/>
      <c r="F714" s="4"/>
      <c r="G714" s="4"/>
      <c r="H714" s="4"/>
      <c r="I714" s="4"/>
      <c r="J714" s="4"/>
      <c r="K714" s="4"/>
    </row>
    <row r="715" ht="15.75" customHeight="1">
      <c r="A715" s="4"/>
      <c r="B715" s="4"/>
      <c r="C715" s="4"/>
      <c r="D715" s="4"/>
      <c r="E715" s="4"/>
      <c r="F715" s="4"/>
      <c r="G715" s="4"/>
      <c r="H715" s="4"/>
      <c r="I715" s="4"/>
      <c r="J715" s="4"/>
      <c r="K715" s="4"/>
    </row>
    <row r="716" ht="15.75" customHeight="1">
      <c r="A716" s="4"/>
      <c r="B716" s="4"/>
      <c r="C716" s="4"/>
      <c r="D716" s="4"/>
      <c r="E716" s="4"/>
      <c r="F716" s="4"/>
      <c r="G716" s="4"/>
      <c r="H716" s="4"/>
      <c r="I716" s="4"/>
      <c r="J716" s="4"/>
      <c r="K716" s="4"/>
    </row>
    <row r="717" ht="15.75" customHeight="1">
      <c r="A717" s="4"/>
      <c r="B717" s="4"/>
      <c r="C717" s="4"/>
      <c r="D717" s="4"/>
      <c r="E717" s="4"/>
      <c r="F717" s="4"/>
      <c r="G717" s="4"/>
      <c r="H717" s="4"/>
      <c r="I717" s="4"/>
      <c r="J717" s="4"/>
      <c r="K717" s="4"/>
    </row>
    <row r="718" ht="15.75" customHeight="1">
      <c r="A718" s="4"/>
      <c r="B718" s="4"/>
      <c r="C718" s="4"/>
      <c r="D718" s="4"/>
      <c r="E718" s="4"/>
      <c r="F718" s="4"/>
      <c r="G718" s="4"/>
      <c r="H718" s="4"/>
      <c r="I718" s="4"/>
      <c r="J718" s="4"/>
      <c r="K718" s="4"/>
    </row>
    <row r="719" ht="15.75" customHeight="1">
      <c r="A719" s="4"/>
      <c r="B719" s="4"/>
      <c r="C719" s="4"/>
      <c r="D719" s="4"/>
      <c r="E719" s="4"/>
      <c r="F719" s="4"/>
      <c r="G719" s="4"/>
      <c r="H719" s="4"/>
      <c r="I719" s="4"/>
      <c r="J719" s="4"/>
      <c r="K719" s="4"/>
    </row>
    <row r="720" ht="15.75" customHeight="1">
      <c r="A720" s="4"/>
      <c r="B720" s="4"/>
      <c r="C720" s="4"/>
      <c r="D720" s="4"/>
      <c r="E720" s="4"/>
      <c r="F720" s="4"/>
      <c r="G720" s="4"/>
      <c r="H720" s="4"/>
      <c r="I720" s="4"/>
      <c r="J720" s="4"/>
      <c r="K720" s="4"/>
    </row>
    <row r="721" ht="15.75" customHeight="1">
      <c r="A721" s="4"/>
      <c r="B721" s="4"/>
      <c r="C721" s="4"/>
      <c r="D721" s="4"/>
      <c r="E721" s="4"/>
      <c r="F721" s="4"/>
      <c r="G721" s="4"/>
      <c r="H721" s="4"/>
      <c r="I721" s="4"/>
      <c r="J721" s="4"/>
      <c r="K721" s="4"/>
    </row>
    <row r="722" ht="15.75" customHeight="1">
      <c r="A722" s="4"/>
      <c r="B722" s="4"/>
      <c r="C722" s="4"/>
      <c r="D722" s="4"/>
      <c r="E722" s="4"/>
      <c r="F722" s="4"/>
      <c r="G722" s="4"/>
      <c r="H722" s="4"/>
      <c r="I722" s="4"/>
      <c r="J722" s="4"/>
      <c r="K722" s="4"/>
    </row>
    <row r="723" ht="15.75" customHeight="1">
      <c r="A723" s="4"/>
      <c r="B723" s="4"/>
      <c r="C723" s="4"/>
      <c r="D723" s="4"/>
      <c r="E723" s="4"/>
      <c r="F723" s="4"/>
      <c r="G723" s="4"/>
      <c r="H723" s="4"/>
      <c r="I723" s="4"/>
      <c r="J723" s="4"/>
      <c r="K723" s="4"/>
    </row>
    <row r="724" ht="15.75" customHeight="1">
      <c r="A724" s="4"/>
      <c r="B724" s="4"/>
      <c r="C724" s="4"/>
      <c r="D724" s="4"/>
      <c r="E724" s="4"/>
      <c r="F724" s="4"/>
      <c r="G724" s="4"/>
      <c r="H724" s="4"/>
      <c r="I724" s="4"/>
      <c r="J724" s="4"/>
      <c r="K724" s="4"/>
    </row>
    <row r="725" ht="15.75" customHeight="1">
      <c r="A725" s="4"/>
      <c r="B725" s="4"/>
      <c r="C725" s="4"/>
      <c r="D725" s="4"/>
      <c r="E725" s="4"/>
      <c r="F725" s="4"/>
      <c r="G725" s="4"/>
      <c r="H725" s="4"/>
      <c r="I725" s="4"/>
      <c r="J725" s="4"/>
      <c r="K725" s="4"/>
    </row>
    <row r="726" ht="15.75" customHeight="1">
      <c r="A726" s="4"/>
      <c r="B726" s="4"/>
      <c r="C726" s="4"/>
      <c r="D726" s="4"/>
      <c r="E726" s="4"/>
      <c r="F726" s="4"/>
      <c r="G726" s="4"/>
      <c r="H726" s="4"/>
      <c r="I726" s="4"/>
      <c r="J726" s="4"/>
      <c r="K726" s="4"/>
    </row>
    <row r="727" ht="15.75" customHeight="1">
      <c r="A727" s="4"/>
      <c r="B727" s="4"/>
      <c r="C727" s="4"/>
      <c r="D727" s="4"/>
      <c r="E727" s="4"/>
      <c r="F727" s="4"/>
      <c r="G727" s="4"/>
      <c r="H727" s="4"/>
      <c r="I727" s="4"/>
      <c r="J727" s="4"/>
      <c r="K727" s="4"/>
    </row>
    <row r="728" ht="15.75" customHeight="1">
      <c r="A728" s="4"/>
      <c r="B728" s="4"/>
      <c r="C728" s="4"/>
      <c r="D728" s="4"/>
      <c r="E728" s="4"/>
      <c r="F728" s="4"/>
      <c r="G728" s="4"/>
      <c r="H728" s="4"/>
      <c r="I728" s="4"/>
      <c r="J728" s="4"/>
      <c r="K728" s="4"/>
    </row>
    <row r="729" ht="15.75" customHeight="1">
      <c r="A729" s="4"/>
      <c r="B729" s="4"/>
      <c r="C729" s="4"/>
      <c r="D729" s="4"/>
      <c r="E729" s="4"/>
      <c r="F729" s="4"/>
      <c r="G729" s="4"/>
      <c r="H729" s="4"/>
      <c r="I729" s="4"/>
      <c r="J729" s="4"/>
      <c r="K729" s="4"/>
    </row>
    <row r="730" ht="15.75" customHeight="1">
      <c r="A730" s="4"/>
      <c r="B730" s="4"/>
      <c r="C730" s="4"/>
      <c r="D730" s="4"/>
      <c r="E730" s="4"/>
      <c r="F730" s="4"/>
      <c r="G730" s="4"/>
      <c r="H730" s="4"/>
      <c r="I730" s="4"/>
      <c r="J730" s="4"/>
      <c r="K730" s="4"/>
    </row>
    <row r="731" ht="15.75" customHeight="1">
      <c r="A731" s="4"/>
      <c r="B731" s="4"/>
      <c r="C731" s="4"/>
      <c r="D731" s="4"/>
      <c r="E731" s="4"/>
      <c r="F731" s="4"/>
      <c r="G731" s="4"/>
      <c r="H731" s="4"/>
      <c r="I731" s="4"/>
      <c r="J731" s="4"/>
      <c r="K731" s="4"/>
    </row>
    <row r="732" ht="15.75" customHeight="1">
      <c r="A732" s="4"/>
      <c r="B732" s="4"/>
      <c r="C732" s="4"/>
      <c r="D732" s="4"/>
      <c r="E732" s="4"/>
      <c r="F732" s="4"/>
      <c r="G732" s="4"/>
      <c r="H732" s="4"/>
      <c r="I732" s="4"/>
      <c r="J732" s="4"/>
      <c r="K732" s="4"/>
    </row>
    <row r="733" ht="15.75" customHeight="1">
      <c r="A733" s="4"/>
      <c r="B733" s="4"/>
      <c r="C733" s="4"/>
      <c r="D733" s="4"/>
      <c r="E733" s="4"/>
      <c r="F733" s="4"/>
      <c r="G733" s="4"/>
      <c r="H733" s="4"/>
      <c r="I733" s="4"/>
      <c r="J733" s="4"/>
      <c r="K733" s="4"/>
    </row>
    <row r="734" ht="15.75" customHeight="1">
      <c r="A734" s="4"/>
      <c r="B734" s="4"/>
      <c r="C734" s="4"/>
      <c r="D734" s="4"/>
      <c r="E734" s="4"/>
      <c r="F734" s="4"/>
      <c r="G734" s="4"/>
      <c r="H734" s="4"/>
      <c r="I734" s="4"/>
      <c r="J734" s="4"/>
      <c r="K734" s="4"/>
    </row>
    <row r="735" ht="15.75" customHeight="1">
      <c r="A735" s="4"/>
      <c r="B735" s="4"/>
      <c r="C735" s="4"/>
      <c r="D735" s="4"/>
      <c r="E735" s="4"/>
      <c r="F735" s="4"/>
      <c r="G735" s="4"/>
      <c r="H735" s="4"/>
      <c r="I735" s="4"/>
      <c r="J735" s="4"/>
      <c r="K735" s="4"/>
    </row>
    <row r="736" ht="15.75" customHeight="1">
      <c r="A736" s="4"/>
      <c r="B736" s="4"/>
      <c r="C736" s="4"/>
      <c r="D736" s="4"/>
      <c r="E736" s="4"/>
      <c r="F736" s="4"/>
      <c r="G736" s="4"/>
      <c r="H736" s="4"/>
      <c r="I736" s="4"/>
      <c r="J736" s="4"/>
      <c r="K736" s="4"/>
    </row>
    <row r="737" ht="15.75" customHeight="1">
      <c r="A737" s="4"/>
      <c r="B737" s="4"/>
      <c r="C737" s="4"/>
      <c r="D737" s="4"/>
      <c r="E737" s="4"/>
      <c r="F737" s="4"/>
      <c r="G737" s="4"/>
      <c r="H737" s="4"/>
      <c r="I737" s="4"/>
      <c r="J737" s="4"/>
      <c r="K737" s="4"/>
    </row>
    <row r="738" ht="15.75" customHeight="1">
      <c r="A738" s="4"/>
      <c r="B738" s="4"/>
      <c r="C738" s="4"/>
      <c r="D738" s="4"/>
      <c r="E738" s="4"/>
      <c r="F738" s="4"/>
      <c r="G738" s="4"/>
      <c r="H738" s="4"/>
      <c r="I738" s="4"/>
      <c r="J738" s="4"/>
      <c r="K738" s="4"/>
    </row>
    <row r="739" ht="15.75" customHeight="1">
      <c r="A739" s="4"/>
      <c r="B739" s="4"/>
      <c r="C739" s="4"/>
      <c r="D739" s="4"/>
      <c r="E739" s="4"/>
      <c r="F739" s="4"/>
      <c r="G739" s="4"/>
      <c r="H739" s="4"/>
      <c r="I739" s="4"/>
      <c r="J739" s="4"/>
      <c r="K739" s="4"/>
    </row>
    <row r="740" ht="15.75" customHeight="1">
      <c r="A740" s="4"/>
      <c r="B740" s="4"/>
      <c r="C740" s="4"/>
      <c r="D740" s="4"/>
      <c r="E740" s="4"/>
      <c r="F740" s="4"/>
      <c r="G740" s="4"/>
      <c r="H740" s="4"/>
      <c r="I740" s="4"/>
      <c r="J740" s="4"/>
      <c r="K740" s="4"/>
    </row>
    <row r="741" ht="15.75" customHeight="1">
      <c r="A741" s="4"/>
      <c r="B741" s="4"/>
      <c r="C741" s="4"/>
      <c r="D741" s="4"/>
      <c r="E741" s="4"/>
      <c r="F741" s="4"/>
      <c r="G741" s="4"/>
      <c r="H741" s="4"/>
      <c r="I741" s="4"/>
      <c r="J741" s="4"/>
      <c r="K741" s="4"/>
    </row>
    <row r="742" ht="15.75" customHeight="1">
      <c r="A742" s="4"/>
      <c r="B742" s="4"/>
      <c r="C742" s="4"/>
      <c r="D742" s="4"/>
      <c r="E742" s="4"/>
      <c r="F742" s="4"/>
      <c r="G742" s="4"/>
      <c r="H742" s="4"/>
      <c r="I742" s="4"/>
      <c r="J742" s="4"/>
      <c r="K742" s="4"/>
    </row>
    <row r="743" ht="15.75" customHeight="1">
      <c r="A743" s="4"/>
      <c r="B743" s="4"/>
      <c r="C743" s="4"/>
      <c r="D743" s="4"/>
      <c r="E743" s="4"/>
      <c r="F743" s="4"/>
      <c r="G743" s="4"/>
      <c r="H743" s="4"/>
      <c r="I743" s="4"/>
      <c r="J743" s="4"/>
      <c r="K743" s="4"/>
    </row>
    <row r="744" ht="15.75" customHeight="1">
      <c r="A744" s="4"/>
      <c r="B744" s="4"/>
      <c r="C744" s="4"/>
      <c r="D744" s="4"/>
      <c r="E744" s="4"/>
      <c r="F744" s="4"/>
      <c r="G744" s="4"/>
      <c r="H744" s="4"/>
      <c r="I744" s="4"/>
      <c r="J744" s="4"/>
      <c r="K744" s="4"/>
    </row>
    <row r="745" ht="15.75" customHeight="1">
      <c r="A745" s="4"/>
      <c r="B745" s="4"/>
      <c r="C745" s="4"/>
      <c r="D745" s="4"/>
      <c r="E745" s="4"/>
      <c r="F745" s="4"/>
      <c r="G745" s="4"/>
      <c r="H745" s="4"/>
      <c r="I745" s="4"/>
      <c r="J745" s="4"/>
      <c r="K745" s="4"/>
    </row>
    <row r="746" ht="15.75" customHeight="1">
      <c r="A746" s="4"/>
      <c r="B746" s="4"/>
      <c r="C746" s="4"/>
      <c r="D746" s="4"/>
      <c r="E746" s="4"/>
      <c r="F746" s="4"/>
      <c r="G746" s="4"/>
      <c r="H746" s="4"/>
      <c r="I746" s="4"/>
      <c r="J746" s="4"/>
      <c r="K746" s="4"/>
    </row>
    <row r="747" ht="15.75" customHeight="1">
      <c r="A747" s="4"/>
      <c r="B747" s="4"/>
      <c r="C747" s="4"/>
      <c r="D747" s="4"/>
      <c r="E747" s="4"/>
      <c r="F747" s="4"/>
      <c r="G747" s="4"/>
      <c r="H747" s="4"/>
      <c r="I747" s="4"/>
      <c r="J747" s="4"/>
      <c r="K747" s="4"/>
    </row>
    <row r="748" ht="15.75" customHeight="1">
      <c r="A748" s="4"/>
      <c r="B748" s="4"/>
      <c r="C748" s="4"/>
      <c r="D748" s="4"/>
      <c r="E748" s="4"/>
      <c r="F748" s="4"/>
      <c r="G748" s="4"/>
      <c r="H748" s="4"/>
      <c r="I748" s="4"/>
      <c r="J748" s="4"/>
      <c r="K748" s="4"/>
    </row>
    <row r="749" ht="15.75" customHeight="1">
      <c r="A749" s="4"/>
      <c r="B749" s="4"/>
      <c r="C749" s="4"/>
      <c r="D749" s="4"/>
      <c r="E749" s="4"/>
      <c r="F749" s="4"/>
      <c r="G749" s="4"/>
      <c r="H749" s="4"/>
      <c r="I749" s="4"/>
      <c r="J749" s="4"/>
      <c r="K749" s="4"/>
    </row>
    <row r="750" ht="15.75" customHeight="1">
      <c r="A750" s="4"/>
      <c r="B750" s="4"/>
      <c r="C750" s="4"/>
      <c r="D750" s="4"/>
      <c r="E750" s="4"/>
      <c r="F750" s="4"/>
      <c r="G750" s="4"/>
      <c r="H750" s="4"/>
      <c r="I750" s="4"/>
      <c r="J750" s="4"/>
      <c r="K750" s="4"/>
    </row>
    <row r="751" ht="15.75" customHeight="1">
      <c r="A751" s="4"/>
      <c r="B751" s="4"/>
      <c r="C751" s="4"/>
      <c r="D751" s="4"/>
      <c r="E751" s="4"/>
      <c r="F751" s="4"/>
      <c r="G751" s="4"/>
      <c r="H751" s="4"/>
      <c r="I751" s="4"/>
      <c r="J751" s="4"/>
      <c r="K751" s="4"/>
    </row>
    <row r="752" ht="15.75" customHeight="1">
      <c r="A752" s="4"/>
      <c r="B752" s="4"/>
      <c r="C752" s="4"/>
      <c r="D752" s="4"/>
      <c r="E752" s="4"/>
      <c r="F752" s="4"/>
      <c r="G752" s="4"/>
      <c r="H752" s="4"/>
      <c r="I752" s="4"/>
      <c r="J752" s="4"/>
      <c r="K752" s="4"/>
    </row>
    <row r="753" ht="15.75" customHeight="1">
      <c r="A753" s="4"/>
      <c r="B753" s="4"/>
      <c r="C753" s="4"/>
      <c r="D753" s="4"/>
      <c r="E753" s="4"/>
      <c r="F753" s="4"/>
      <c r="G753" s="4"/>
      <c r="H753" s="4"/>
      <c r="I753" s="4"/>
      <c r="J753" s="4"/>
      <c r="K753" s="4"/>
    </row>
    <row r="754" ht="15.75" customHeight="1">
      <c r="A754" s="4"/>
      <c r="B754" s="4"/>
      <c r="C754" s="4"/>
      <c r="D754" s="4"/>
      <c r="E754" s="4"/>
      <c r="F754" s="4"/>
      <c r="G754" s="4"/>
      <c r="H754" s="4"/>
      <c r="I754" s="4"/>
      <c r="J754" s="4"/>
      <c r="K754" s="4"/>
    </row>
    <row r="755" ht="15.75" customHeight="1">
      <c r="A755" s="4"/>
      <c r="B755" s="4"/>
      <c r="C755" s="4"/>
      <c r="D755" s="4"/>
      <c r="E755" s="4"/>
      <c r="F755" s="4"/>
      <c r="G755" s="4"/>
      <c r="H755" s="4"/>
      <c r="I755" s="4"/>
      <c r="J755" s="4"/>
      <c r="K755" s="4"/>
    </row>
    <row r="756" ht="15.75" customHeight="1">
      <c r="A756" s="4"/>
      <c r="B756" s="4"/>
      <c r="C756" s="4"/>
      <c r="D756" s="4"/>
      <c r="E756" s="4"/>
      <c r="F756" s="4"/>
      <c r="G756" s="4"/>
      <c r="H756" s="4"/>
      <c r="I756" s="4"/>
      <c r="J756" s="4"/>
      <c r="K756" s="4"/>
    </row>
    <row r="757" ht="15.75" customHeight="1">
      <c r="A757" s="4"/>
      <c r="B757" s="4"/>
      <c r="C757" s="4"/>
      <c r="D757" s="4"/>
      <c r="E757" s="4"/>
      <c r="F757" s="4"/>
      <c r="G757" s="4"/>
      <c r="H757" s="4"/>
      <c r="I757" s="4"/>
      <c r="J757" s="4"/>
      <c r="K757" s="4"/>
    </row>
    <row r="758" ht="15.75" customHeight="1">
      <c r="A758" s="4"/>
      <c r="B758" s="4"/>
      <c r="C758" s="4"/>
      <c r="D758" s="4"/>
      <c r="E758" s="4"/>
      <c r="F758" s="4"/>
      <c r="G758" s="4"/>
      <c r="H758" s="4"/>
      <c r="I758" s="4"/>
      <c r="J758" s="4"/>
      <c r="K758" s="4"/>
    </row>
    <row r="759" ht="15.75" customHeight="1">
      <c r="A759" s="4"/>
      <c r="B759" s="4"/>
      <c r="C759" s="4"/>
      <c r="D759" s="4"/>
      <c r="E759" s="4"/>
      <c r="F759" s="4"/>
      <c r="G759" s="4"/>
      <c r="H759" s="4"/>
      <c r="I759" s="4"/>
      <c r="J759" s="4"/>
      <c r="K759" s="4"/>
    </row>
    <row r="760" ht="15.75" customHeight="1">
      <c r="A760" s="4"/>
      <c r="B760" s="4"/>
      <c r="C760" s="4"/>
      <c r="D760" s="4"/>
      <c r="E760" s="4"/>
      <c r="F760" s="4"/>
      <c r="G760" s="4"/>
      <c r="H760" s="4"/>
      <c r="I760" s="4"/>
      <c r="J760" s="4"/>
      <c r="K760" s="4"/>
    </row>
    <row r="761" ht="15.75" customHeight="1">
      <c r="A761" s="4"/>
      <c r="B761" s="4"/>
      <c r="C761" s="4"/>
      <c r="D761" s="4"/>
      <c r="E761" s="4"/>
      <c r="F761" s="4"/>
      <c r="G761" s="4"/>
      <c r="H761" s="4"/>
      <c r="I761" s="4"/>
      <c r="J761" s="4"/>
      <c r="K761" s="4"/>
    </row>
    <row r="762" ht="15.75" customHeight="1">
      <c r="A762" s="4"/>
      <c r="B762" s="4"/>
      <c r="C762" s="4"/>
      <c r="D762" s="4"/>
      <c r="E762" s="4"/>
      <c r="F762" s="4"/>
      <c r="G762" s="4"/>
      <c r="H762" s="4"/>
      <c r="I762" s="4"/>
      <c r="J762" s="4"/>
      <c r="K762" s="4"/>
    </row>
    <row r="763" ht="15.75" customHeight="1">
      <c r="A763" s="4"/>
      <c r="B763" s="4"/>
      <c r="C763" s="4"/>
      <c r="D763" s="4"/>
      <c r="E763" s="4"/>
      <c r="F763" s="4"/>
      <c r="G763" s="4"/>
      <c r="H763" s="4"/>
      <c r="I763" s="4"/>
      <c r="J763" s="4"/>
      <c r="K763" s="4"/>
    </row>
    <row r="764" ht="15.75" customHeight="1">
      <c r="A764" s="4"/>
      <c r="B764" s="4"/>
      <c r="C764" s="4"/>
      <c r="D764" s="4"/>
      <c r="E764" s="4"/>
      <c r="F764" s="4"/>
      <c r="G764" s="4"/>
      <c r="H764" s="4"/>
      <c r="I764" s="4"/>
      <c r="J764" s="4"/>
      <c r="K764" s="4"/>
    </row>
    <row r="765" ht="15.75" customHeight="1">
      <c r="A765" s="4"/>
      <c r="B765" s="4"/>
      <c r="C765" s="4"/>
      <c r="D765" s="4"/>
      <c r="E765" s="4"/>
      <c r="F765" s="4"/>
      <c r="G765" s="4"/>
      <c r="H765" s="4"/>
      <c r="I765" s="4"/>
      <c r="J765" s="4"/>
      <c r="K765" s="4"/>
    </row>
    <row r="766" ht="15.75" customHeight="1">
      <c r="A766" s="4"/>
      <c r="B766" s="4"/>
      <c r="C766" s="4"/>
      <c r="D766" s="4"/>
      <c r="E766" s="4"/>
      <c r="F766" s="4"/>
      <c r="G766" s="4"/>
      <c r="H766" s="4"/>
      <c r="I766" s="4"/>
      <c r="J766" s="4"/>
      <c r="K766" s="4"/>
    </row>
    <row r="767" ht="15.75" customHeight="1">
      <c r="A767" s="4"/>
      <c r="B767" s="4"/>
      <c r="C767" s="4"/>
      <c r="D767" s="4"/>
      <c r="E767" s="4"/>
      <c r="F767" s="4"/>
      <c r="G767" s="4"/>
      <c r="H767" s="4"/>
      <c r="I767" s="4"/>
      <c r="J767" s="4"/>
      <c r="K767" s="4"/>
    </row>
    <row r="768" ht="15.75" customHeight="1">
      <c r="A768" s="4"/>
      <c r="B768" s="4"/>
      <c r="C768" s="4"/>
      <c r="D768" s="4"/>
      <c r="E768" s="4"/>
      <c r="F768" s="4"/>
      <c r="G768" s="4"/>
      <c r="H768" s="4"/>
      <c r="I768" s="4"/>
      <c r="J768" s="4"/>
      <c r="K768" s="4"/>
    </row>
    <row r="769" ht="15.75" customHeight="1">
      <c r="A769" s="4"/>
      <c r="B769" s="4"/>
      <c r="C769" s="4"/>
      <c r="D769" s="4"/>
      <c r="E769" s="4"/>
      <c r="F769" s="4"/>
      <c r="G769" s="4"/>
      <c r="H769" s="4"/>
      <c r="I769" s="4"/>
      <c r="J769" s="4"/>
      <c r="K769" s="4"/>
    </row>
    <row r="770" ht="15.75" customHeight="1">
      <c r="A770" s="4"/>
      <c r="B770" s="4"/>
      <c r="C770" s="4"/>
      <c r="D770" s="4"/>
      <c r="E770" s="4"/>
      <c r="F770" s="4"/>
      <c r="G770" s="4"/>
      <c r="H770" s="4"/>
      <c r="I770" s="4"/>
      <c r="J770" s="4"/>
      <c r="K770" s="4"/>
    </row>
    <row r="771" ht="15.75" customHeight="1">
      <c r="A771" s="4"/>
      <c r="B771" s="4"/>
      <c r="C771" s="4"/>
      <c r="D771" s="4"/>
      <c r="E771" s="4"/>
      <c r="F771" s="4"/>
      <c r="G771" s="4"/>
      <c r="H771" s="4"/>
      <c r="I771" s="4"/>
      <c r="J771" s="4"/>
      <c r="K771" s="4"/>
    </row>
    <row r="772" ht="15.75" customHeight="1">
      <c r="A772" s="4"/>
      <c r="B772" s="4"/>
      <c r="C772" s="4"/>
      <c r="D772" s="4"/>
      <c r="E772" s="4"/>
      <c r="F772" s="4"/>
      <c r="G772" s="4"/>
      <c r="H772" s="4"/>
      <c r="I772" s="4"/>
      <c r="J772" s="4"/>
      <c r="K772" s="4"/>
    </row>
    <row r="773" ht="15.75" customHeight="1">
      <c r="A773" s="4"/>
      <c r="B773" s="4"/>
      <c r="C773" s="4"/>
      <c r="D773" s="4"/>
      <c r="E773" s="4"/>
      <c r="F773" s="4"/>
      <c r="G773" s="4"/>
      <c r="H773" s="4"/>
      <c r="I773" s="4"/>
      <c r="J773" s="4"/>
      <c r="K773" s="4"/>
    </row>
    <row r="774" ht="15.75" customHeight="1">
      <c r="A774" s="4"/>
      <c r="B774" s="4"/>
      <c r="C774" s="4"/>
      <c r="D774" s="4"/>
      <c r="E774" s="4"/>
      <c r="F774" s="4"/>
      <c r="G774" s="4"/>
      <c r="H774" s="4"/>
      <c r="I774" s="4"/>
      <c r="J774" s="4"/>
      <c r="K774" s="4"/>
    </row>
    <row r="775" ht="15.75" customHeight="1">
      <c r="A775" s="4"/>
      <c r="B775" s="4"/>
      <c r="C775" s="4"/>
      <c r="D775" s="4"/>
      <c r="E775" s="4"/>
      <c r="F775" s="4"/>
      <c r="G775" s="4"/>
      <c r="H775" s="4"/>
      <c r="I775" s="4"/>
      <c r="J775" s="4"/>
      <c r="K775" s="4"/>
    </row>
    <row r="776" ht="15.75" customHeight="1">
      <c r="A776" s="4"/>
      <c r="B776" s="4"/>
      <c r="C776" s="4"/>
      <c r="D776" s="4"/>
      <c r="E776" s="4"/>
      <c r="F776" s="4"/>
      <c r="G776" s="4"/>
      <c r="H776" s="4"/>
      <c r="I776" s="4"/>
      <c r="J776" s="4"/>
      <c r="K776" s="4"/>
    </row>
    <row r="777" ht="15.75" customHeight="1">
      <c r="A777" s="4"/>
      <c r="B777" s="4"/>
      <c r="C777" s="4"/>
      <c r="D777" s="4"/>
      <c r="E777" s="4"/>
      <c r="F777" s="4"/>
      <c r="G777" s="4"/>
      <c r="H777" s="4"/>
      <c r="I777" s="4"/>
      <c r="J777" s="4"/>
      <c r="K777" s="4"/>
    </row>
    <row r="778" ht="15.75" customHeight="1">
      <c r="A778" s="4"/>
      <c r="B778" s="4"/>
      <c r="C778" s="4"/>
      <c r="D778" s="4"/>
      <c r="E778" s="4"/>
      <c r="F778" s="4"/>
      <c r="G778" s="4"/>
      <c r="H778" s="4"/>
      <c r="I778" s="4"/>
      <c r="J778" s="4"/>
      <c r="K778" s="4"/>
    </row>
    <row r="779" ht="15.75" customHeight="1">
      <c r="A779" s="4"/>
      <c r="B779" s="4"/>
      <c r="C779" s="4"/>
      <c r="D779" s="4"/>
      <c r="E779" s="4"/>
      <c r="F779" s="4"/>
      <c r="G779" s="4"/>
      <c r="H779" s="4"/>
      <c r="I779" s="4"/>
      <c r="J779" s="4"/>
      <c r="K779" s="4"/>
    </row>
    <row r="780" ht="15.75" customHeight="1">
      <c r="A780" s="4"/>
      <c r="B780" s="4"/>
      <c r="C780" s="4"/>
      <c r="D780" s="4"/>
      <c r="E780" s="4"/>
      <c r="F780" s="4"/>
      <c r="G780" s="4"/>
      <c r="H780" s="4"/>
      <c r="I780" s="4"/>
      <c r="J780" s="4"/>
      <c r="K780" s="4"/>
    </row>
    <row r="781" ht="15.75" customHeight="1">
      <c r="A781" s="4"/>
      <c r="B781" s="4"/>
      <c r="C781" s="4"/>
      <c r="D781" s="4"/>
      <c r="E781" s="4"/>
      <c r="F781" s="4"/>
      <c r="G781" s="4"/>
      <c r="H781" s="4"/>
      <c r="I781" s="4"/>
      <c r="J781" s="4"/>
      <c r="K781" s="4"/>
    </row>
    <row r="782" ht="15.75" customHeight="1">
      <c r="A782" s="4"/>
      <c r="B782" s="4"/>
      <c r="C782" s="4"/>
      <c r="D782" s="4"/>
      <c r="E782" s="4"/>
      <c r="F782" s="4"/>
      <c r="G782" s="4"/>
      <c r="H782" s="4"/>
      <c r="I782" s="4"/>
      <c r="J782" s="4"/>
      <c r="K782" s="4"/>
    </row>
    <row r="783" ht="15.75" customHeight="1">
      <c r="A783" s="4"/>
      <c r="B783" s="4"/>
      <c r="C783" s="4"/>
      <c r="D783" s="4"/>
      <c r="E783" s="4"/>
      <c r="F783" s="4"/>
      <c r="G783" s="4"/>
      <c r="H783" s="4"/>
      <c r="I783" s="4"/>
      <c r="J783" s="4"/>
      <c r="K783" s="4"/>
    </row>
    <row r="784" ht="15.75" customHeight="1">
      <c r="A784" s="4"/>
      <c r="B784" s="4"/>
      <c r="C784" s="4"/>
      <c r="D784" s="4"/>
      <c r="E784" s="4"/>
      <c r="F784" s="4"/>
      <c r="G784" s="4"/>
      <c r="H784" s="4"/>
      <c r="I784" s="4"/>
      <c r="J784" s="4"/>
      <c r="K784" s="4"/>
    </row>
    <row r="785" ht="15.75" customHeight="1">
      <c r="A785" s="4"/>
      <c r="B785" s="4"/>
      <c r="C785" s="4"/>
      <c r="D785" s="4"/>
      <c r="E785" s="4"/>
      <c r="F785" s="4"/>
      <c r="G785" s="4"/>
      <c r="H785" s="4"/>
      <c r="I785" s="4"/>
      <c r="J785" s="4"/>
      <c r="K785" s="4"/>
    </row>
    <row r="786" ht="15.75" customHeight="1">
      <c r="A786" s="4"/>
      <c r="B786" s="4"/>
      <c r="C786" s="4"/>
      <c r="D786" s="4"/>
      <c r="E786" s="4"/>
      <c r="F786" s="4"/>
      <c r="G786" s="4"/>
      <c r="H786" s="4"/>
      <c r="I786" s="4"/>
      <c r="J786" s="4"/>
      <c r="K786" s="4"/>
    </row>
    <row r="787" ht="15.75" customHeight="1">
      <c r="A787" s="4"/>
      <c r="B787" s="4"/>
      <c r="C787" s="4"/>
      <c r="D787" s="4"/>
      <c r="E787" s="4"/>
      <c r="F787" s="4"/>
      <c r="G787" s="4"/>
      <c r="H787" s="4"/>
      <c r="I787" s="4"/>
      <c r="J787" s="4"/>
      <c r="K787" s="4"/>
    </row>
    <row r="788" ht="15.75" customHeight="1">
      <c r="A788" s="4"/>
      <c r="B788" s="4"/>
      <c r="C788" s="4"/>
      <c r="D788" s="4"/>
      <c r="E788" s="4"/>
      <c r="F788" s="4"/>
      <c r="G788" s="4"/>
      <c r="H788" s="4"/>
      <c r="I788" s="4"/>
      <c r="J788" s="4"/>
      <c r="K788" s="4"/>
    </row>
    <row r="789" ht="15.75" customHeight="1">
      <c r="A789" s="4"/>
      <c r="B789" s="4"/>
      <c r="C789" s="4"/>
      <c r="D789" s="4"/>
      <c r="E789" s="4"/>
      <c r="F789" s="4"/>
      <c r="G789" s="4"/>
      <c r="H789" s="4"/>
      <c r="I789" s="4"/>
      <c r="J789" s="4"/>
      <c r="K789" s="4"/>
    </row>
    <row r="790" ht="15.75" customHeight="1">
      <c r="A790" s="4"/>
      <c r="B790" s="4"/>
      <c r="C790" s="4"/>
      <c r="D790" s="4"/>
      <c r="E790" s="4"/>
      <c r="F790" s="4"/>
      <c r="G790" s="4"/>
      <c r="H790" s="4"/>
      <c r="I790" s="4"/>
      <c r="J790" s="4"/>
      <c r="K790" s="4"/>
    </row>
    <row r="791" ht="15.75" customHeight="1">
      <c r="A791" s="4"/>
      <c r="B791" s="4"/>
      <c r="C791" s="4"/>
      <c r="D791" s="4"/>
      <c r="E791" s="4"/>
      <c r="F791" s="4"/>
      <c r="G791" s="4"/>
      <c r="H791" s="4"/>
      <c r="I791" s="4"/>
      <c r="J791" s="4"/>
      <c r="K791" s="4"/>
    </row>
    <row r="792" ht="15.75" customHeight="1">
      <c r="A792" s="4"/>
      <c r="B792" s="4"/>
      <c r="C792" s="4"/>
      <c r="D792" s="4"/>
      <c r="E792" s="4"/>
      <c r="F792" s="4"/>
      <c r="G792" s="4"/>
      <c r="H792" s="4"/>
      <c r="I792" s="4"/>
      <c r="J792" s="4"/>
      <c r="K792" s="4"/>
    </row>
    <row r="793" ht="15.75" customHeight="1">
      <c r="A793" s="4"/>
      <c r="B793" s="4"/>
      <c r="C793" s="4"/>
      <c r="D793" s="4"/>
      <c r="E793" s="4"/>
      <c r="F793" s="4"/>
      <c r="G793" s="4"/>
      <c r="H793" s="4"/>
      <c r="I793" s="4"/>
      <c r="J793" s="4"/>
      <c r="K793" s="4"/>
    </row>
    <row r="794" ht="15.75" customHeight="1">
      <c r="A794" s="4"/>
      <c r="B794" s="4"/>
      <c r="C794" s="4"/>
      <c r="D794" s="4"/>
      <c r="E794" s="4"/>
      <c r="F794" s="4"/>
      <c r="G794" s="4"/>
      <c r="H794" s="4"/>
      <c r="I794" s="4"/>
      <c r="J794" s="4"/>
      <c r="K794" s="4"/>
    </row>
    <row r="795" ht="15.75" customHeight="1">
      <c r="A795" s="4"/>
      <c r="B795" s="4"/>
      <c r="C795" s="4"/>
      <c r="D795" s="4"/>
      <c r="E795" s="4"/>
      <c r="F795" s="4"/>
      <c r="G795" s="4"/>
      <c r="H795" s="4"/>
      <c r="I795" s="4"/>
      <c r="J795" s="4"/>
      <c r="K795" s="4"/>
    </row>
    <row r="796" ht="15.75" customHeight="1">
      <c r="A796" s="4"/>
      <c r="B796" s="4"/>
      <c r="C796" s="4"/>
      <c r="D796" s="4"/>
      <c r="E796" s="4"/>
      <c r="F796" s="4"/>
      <c r="G796" s="4"/>
      <c r="H796" s="4"/>
      <c r="I796" s="4"/>
      <c r="J796" s="4"/>
      <c r="K796" s="4"/>
    </row>
    <row r="797" ht="15.75" customHeight="1">
      <c r="A797" s="4"/>
      <c r="B797" s="4"/>
      <c r="C797" s="4"/>
      <c r="D797" s="4"/>
      <c r="E797" s="4"/>
      <c r="F797" s="4"/>
      <c r="G797" s="4"/>
      <c r="H797" s="4"/>
      <c r="I797" s="4"/>
      <c r="J797" s="4"/>
      <c r="K797" s="4"/>
    </row>
    <row r="798" ht="15.75" customHeight="1">
      <c r="A798" s="4"/>
      <c r="B798" s="4"/>
      <c r="C798" s="4"/>
      <c r="D798" s="4"/>
      <c r="E798" s="4"/>
      <c r="F798" s="4"/>
      <c r="G798" s="4"/>
      <c r="H798" s="4"/>
      <c r="I798" s="4"/>
      <c r="J798" s="4"/>
      <c r="K798" s="4"/>
    </row>
    <row r="799" ht="15.75" customHeight="1">
      <c r="A799" s="4"/>
      <c r="B799" s="4"/>
      <c r="C799" s="4"/>
      <c r="D799" s="4"/>
      <c r="E799" s="4"/>
      <c r="F799" s="4"/>
      <c r="G799" s="4"/>
      <c r="H799" s="4"/>
      <c r="I799" s="4"/>
      <c r="J799" s="4"/>
      <c r="K799" s="4"/>
    </row>
    <row r="800" ht="15.75" customHeight="1">
      <c r="A800" s="4"/>
      <c r="B800" s="4"/>
      <c r="C800" s="4"/>
      <c r="D800" s="4"/>
      <c r="E800" s="4"/>
      <c r="F800" s="4"/>
      <c r="G800" s="4"/>
      <c r="H800" s="4"/>
      <c r="I800" s="4"/>
      <c r="J800" s="4"/>
      <c r="K800" s="4"/>
    </row>
    <row r="801" ht="15.75" customHeight="1">
      <c r="A801" s="4"/>
      <c r="B801" s="4"/>
      <c r="C801" s="4"/>
      <c r="D801" s="4"/>
      <c r="E801" s="4"/>
      <c r="F801" s="4"/>
      <c r="G801" s="4"/>
      <c r="H801" s="4"/>
      <c r="I801" s="4"/>
      <c r="J801" s="4"/>
      <c r="K801" s="4"/>
    </row>
    <row r="802" ht="15.75" customHeight="1">
      <c r="A802" s="4"/>
      <c r="B802" s="4"/>
      <c r="C802" s="4"/>
      <c r="D802" s="4"/>
      <c r="E802" s="4"/>
      <c r="F802" s="4"/>
      <c r="G802" s="4"/>
      <c r="H802" s="4"/>
      <c r="I802" s="4"/>
      <c r="J802" s="4"/>
      <c r="K802" s="4"/>
    </row>
    <row r="803" ht="15.75" customHeight="1">
      <c r="A803" s="4"/>
      <c r="B803" s="4"/>
      <c r="C803" s="4"/>
      <c r="D803" s="4"/>
      <c r="E803" s="4"/>
      <c r="F803" s="4"/>
      <c r="G803" s="4"/>
      <c r="H803" s="4"/>
      <c r="I803" s="4"/>
      <c r="J803" s="4"/>
      <c r="K803" s="4"/>
    </row>
    <row r="804" ht="15.75" customHeight="1">
      <c r="A804" s="4"/>
      <c r="B804" s="4"/>
      <c r="C804" s="4"/>
      <c r="D804" s="4"/>
      <c r="E804" s="4"/>
      <c r="F804" s="4"/>
      <c r="G804" s="4"/>
      <c r="H804" s="4"/>
      <c r="I804" s="4"/>
      <c r="J804" s="4"/>
      <c r="K804" s="4"/>
    </row>
    <row r="805" ht="15.75" customHeight="1">
      <c r="A805" s="4"/>
      <c r="B805" s="4"/>
      <c r="C805" s="4"/>
      <c r="D805" s="4"/>
      <c r="E805" s="4"/>
      <c r="F805" s="4"/>
      <c r="G805" s="4"/>
      <c r="H805" s="4"/>
      <c r="I805" s="4"/>
      <c r="J805" s="4"/>
      <c r="K805" s="4"/>
    </row>
    <row r="806" ht="15.75" customHeight="1">
      <c r="A806" s="4"/>
      <c r="B806" s="4"/>
      <c r="C806" s="4"/>
      <c r="D806" s="4"/>
      <c r="E806" s="4"/>
      <c r="F806" s="4"/>
      <c r="G806" s="4"/>
      <c r="H806" s="4"/>
      <c r="I806" s="4"/>
      <c r="J806" s="4"/>
      <c r="K806" s="4"/>
    </row>
    <row r="807" ht="15.75" customHeight="1">
      <c r="A807" s="4"/>
      <c r="B807" s="4"/>
      <c r="C807" s="4"/>
      <c r="D807" s="4"/>
      <c r="E807" s="4"/>
      <c r="F807" s="4"/>
      <c r="G807" s="4"/>
      <c r="H807" s="4"/>
      <c r="I807" s="4"/>
      <c r="J807" s="4"/>
      <c r="K807" s="4"/>
    </row>
    <row r="808" ht="15.75" customHeight="1">
      <c r="A808" s="4"/>
      <c r="B808" s="4"/>
      <c r="C808" s="4"/>
      <c r="D808" s="4"/>
      <c r="E808" s="4"/>
      <c r="F808" s="4"/>
      <c r="G808" s="4"/>
      <c r="H808" s="4"/>
      <c r="I808" s="4"/>
      <c r="J808" s="4"/>
      <c r="K808" s="4"/>
    </row>
    <row r="809" ht="15.75" customHeight="1">
      <c r="A809" s="4"/>
      <c r="B809" s="4"/>
      <c r="C809" s="4"/>
      <c r="D809" s="4"/>
      <c r="E809" s="4"/>
      <c r="F809" s="4"/>
      <c r="G809" s="4"/>
      <c r="H809" s="4"/>
      <c r="I809" s="4"/>
      <c r="J809" s="4"/>
      <c r="K809" s="4"/>
    </row>
    <row r="810" ht="15.75" customHeight="1">
      <c r="A810" s="4"/>
      <c r="B810" s="4"/>
      <c r="C810" s="4"/>
      <c r="D810" s="4"/>
      <c r="E810" s="4"/>
      <c r="F810" s="4"/>
      <c r="G810" s="4"/>
      <c r="H810" s="4"/>
      <c r="I810" s="4"/>
      <c r="J810" s="4"/>
      <c r="K810" s="4"/>
    </row>
    <row r="811" ht="15.75" customHeight="1">
      <c r="A811" s="4"/>
      <c r="B811" s="4"/>
      <c r="C811" s="4"/>
      <c r="D811" s="4"/>
      <c r="E811" s="4"/>
      <c r="F811" s="4"/>
      <c r="G811" s="4"/>
      <c r="H811" s="4"/>
      <c r="I811" s="4"/>
      <c r="J811" s="4"/>
      <c r="K811" s="4"/>
    </row>
    <row r="812" ht="15.75" customHeight="1">
      <c r="A812" s="4"/>
      <c r="B812" s="4"/>
      <c r="C812" s="4"/>
      <c r="D812" s="4"/>
      <c r="E812" s="4"/>
      <c r="F812" s="4"/>
      <c r="G812" s="4"/>
      <c r="H812" s="4"/>
      <c r="I812" s="4"/>
      <c r="J812" s="4"/>
      <c r="K812" s="4"/>
    </row>
    <row r="813" ht="15.75" customHeight="1">
      <c r="A813" s="4"/>
      <c r="B813" s="4"/>
      <c r="C813" s="4"/>
      <c r="D813" s="4"/>
      <c r="E813" s="4"/>
      <c r="F813" s="4"/>
      <c r="G813" s="4"/>
      <c r="H813" s="4"/>
      <c r="I813" s="4"/>
      <c r="J813" s="4"/>
      <c r="K813" s="4"/>
    </row>
    <row r="814" ht="15.75" customHeight="1">
      <c r="A814" s="4"/>
      <c r="B814" s="4"/>
      <c r="C814" s="4"/>
      <c r="D814" s="4"/>
      <c r="E814" s="4"/>
      <c r="F814" s="4"/>
      <c r="G814" s="4"/>
      <c r="H814" s="4"/>
      <c r="I814" s="4"/>
      <c r="J814" s="4"/>
      <c r="K814" s="4"/>
    </row>
    <row r="815" ht="15.75" customHeight="1">
      <c r="A815" s="4"/>
      <c r="B815" s="4"/>
      <c r="C815" s="4"/>
      <c r="D815" s="4"/>
      <c r="E815" s="4"/>
      <c r="F815" s="4"/>
      <c r="G815" s="4"/>
      <c r="H815" s="4"/>
      <c r="I815" s="4"/>
      <c r="J815" s="4"/>
      <c r="K815" s="4"/>
    </row>
    <row r="816" ht="15.75" customHeight="1">
      <c r="A816" s="4"/>
      <c r="B816" s="4"/>
      <c r="C816" s="4"/>
      <c r="D816" s="4"/>
      <c r="E816" s="4"/>
      <c r="F816" s="4"/>
      <c r="G816" s="4"/>
      <c r="H816" s="4"/>
      <c r="I816" s="4"/>
      <c r="J816" s="4"/>
      <c r="K816" s="4"/>
    </row>
    <row r="817" ht="15.75" customHeight="1">
      <c r="A817" s="4"/>
      <c r="B817" s="4"/>
      <c r="C817" s="4"/>
      <c r="D817" s="4"/>
      <c r="E817" s="4"/>
      <c r="F817" s="4"/>
      <c r="G817" s="4"/>
      <c r="H817" s="4"/>
      <c r="I817" s="4"/>
      <c r="J817" s="4"/>
      <c r="K817" s="4"/>
    </row>
    <row r="818" ht="15.75" customHeight="1">
      <c r="A818" s="4"/>
      <c r="B818" s="4"/>
      <c r="C818" s="4"/>
      <c r="D818" s="4"/>
      <c r="E818" s="4"/>
      <c r="F818" s="4"/>
      <c r="G818" s="4"/>
      <c r="H818" s="4"/>
      <c r="I818" s="4"/>
      <c r="J818" s="4"/>
      <c r="K818" s="4"/>
    </row>
    <row r="819" ht="15.75" customHeight="1">
      <c r="A819" s="4"/>
      <c r="B819" s="4"/>
      <c r="C819" s="4"/>
      <c r="D819" s="4"/>
      <c r="E819" s="4"/>
      <c r="F819" s="4"/>
      <c r="G819" s="4"/>
      <c r="H819" s="4"/>
      <c r="I819" s="4"/>
      <c r="J819" s="4"/>
      <c r="K819" s="4"/>
    </row>
    <row r="820" ht="15.75" customHeight="1">
      <c r="A820" s="4"/>
      <c r="B820" s="4"/>
      <c r="C820" s="4"/>
      <c r="D820" s="4"/>
      <c r="E820" s="4"/>
      <c r="F820" s="4"/>
      <c r="G820" s="4"/>
      <c r="H820" s="4"/>
      <c r="I820" s="4"/>
      <c r="J820" s="4"/>
      <c r="K820" s="4"/>
    </row>
    <row r="821" ht="15.75" customHeight="1">
      <c r="A821" s="4"/>
      <c r="B821" s="4"/>
      <c r="C821" s="4"/>
      <c r="D821" s="4"/>
      <c r="E821" s="4"/>
      <c r="F821" s="4"/>
      <c r="G821" s="4"/>
      <c r="H821" s="4"/>
      <c r="I821" s="4"/>
      <c r="J821" s="4"/>
      <c r="K821" s="4"/>
    </row>
    <row r="822" ht="15.75" customHeight="1">
      <c r="A822" s="4"/>
      <c r="B822" s="4"/>
      <c r="C822" s="4"/>
      <c r="D822" s="4"/>
      <c r="E822" s="4"/>
      <c r="F822" s="4"/>
      <c r="G822" s="4"/>
      <c r="H822" s="4"/>
      <c r="I822" s="4"/>
      <c r="J822" s="4"/>
      <c r="K822" s="4"/>
    </row>
    <row r="823" ht="15.75" customHeight="1">
      <c r="A823" s="4"/>
      <c r="B823" s="4"/>
      <c r="C823" s="4"/>
      <c r="D823" s="4"/>
      <c r="E823" s="4"/>
      <c r="F823" s="4"/>
      <c r="G823" s="4"/>
      <c r="H823" s="4"/>
      <c r="I823" s="4"/>
      <c r="J823" s="4"/>
      <c r="K823" s="4"/>
    </row>
    <row r="824" ht="15.75" customHeight="1">
      <c r="A824" s="4"/>
      <c r="B824" s="4"/>
      <c r="C824" s="4"/>
      <c r="D824" s="4"/>
      <c r="E824" s="4"/>
      <c r="F824" s="4"/>
      <c r="G824" s="4"/>
      <c r="H824" s="4"/>
      <c r="I824" s="4"/>
      <c r="J824" s="4"/>
      <c r="K824" s="4"/>
    </row>
    <row r="825" ht="15.75" customHeight="1">
      <c r="A825" s="4"/>
      <c r="B825" s="4"/>
      <c r="C825" s="4"/>
      <c r="D825" s="4"/>
      <c r="E825" s="4"/>
      <c r="F825" s="4"/>
      <c r="G825" s="4"/>
      <c r="H825" s="4"/>
      <c r="I825" s="4"/>
      <c r="J825" s="4"/>
      <c r="K825" s="4"/>
    </row>
    <row r="826" ht="15.75" customHeight="1">
      <c r="A826" s="4"/>
      <c r="B826" s="4"/>
      <c r="C826" s="4"/>
      <c r="D826" s="4"/>
      <c r="E826" s="4"/>
      <c r="F826" s="4"/>
      <c r="G826" s="4"/>
      <c r="H826" s="4"/>
      <c r="I826" s="4"/>
      <c r="J826" s="4"/>
      <c r="K826" s="4"/>
    </row>
    <row r="827" ht="15.75" customHeight="1">
      <c r="A827" s="4"/>
      <c r="B827" s="4"/>
      <c r="C827" s="4"/>
      <c r="D827" s="4"/>
      <c r="E827" s="4"/>
      <c r="F827" s="4"/>
      <c r="G827" s="4"/>
      <c r="H827" s="4"/>
      <c r="I827" s="4"/>
      <c r="J827" s="4"/>
      <c r="K827" s="4"/>
    </row>
    <row r="828" ht="15.75" customHeight="1">
      <c r="A828" s="4"/>
      <c r="B828" s="4"/>
      <c r="C828" s="4"/>
      <c r="D828" s="4"/>
      <c r="E828" s="4"/>
      <c r="F828" s="4"/>
      <c r="G828" s="4"/>
      <c r="H828" s="4"/>
      <c r="I828" s="4"/>
      <c r="J828" s="4"/>
      <c r="K828" s="4"/>
    </row>
    <row r="829" ht="15.75" customHeight="1">
      <c r="A829" s="4"/>
      <c r="B829" s="4"/>
      <c r="C829" s="4"/>
      <c r="D829" s="4"/>
      <c r="E829" s="4"/>
      <c r="F829" s="4"/>
      <c r="G829" s="4"/>
      <c r="H829" s="4"/>
      <c r="I829" s="4"/>
      <c r="J829" s="4"/>
      <c r="K829" s="4"/>
    </row>
    <row r="830" ht="15.75" customHeight="1">
      <c r="A830" s="4"/>
      <c r="B830" s="4"/>
      <c r="C830" s="4"/>
      <c r="D830" s="4"/>
      <c r="E830" s="4"/>
      <c r="F830" s="4"/>
      <c r="G830" s="4"/>
      <c r="H830" s="4"/>
      <c r="I830" s="4"/>
      <c r="J830" s="4"/>
      <c r="K830" s="4"/>
    </row>
    <row r="831" ht="15.75" customHeight="1">
      <c r="A831" s="4"/>
      <c r="B831" s="4"/>
      <c r="C831" s="4"/>
      <c r="D831" s="4"/>
      <c r="E831" s="4"/>
      <c r="F831" s="4"/>
      <c r="G831" s="4"/>
      <c r="H831" s="4"/>
      <c r="I831" s="4"/>
      <c r="J831" s="4"/>
      <c r="K831" s="4"/>
    </row>
    <row r="832" ht="15.75" customHeight="1">
      <c r="A832" s="4"/>
      <c r="B832" s="4"/>
      <c r="C832" s="4"/>
      <c r="D832" s="4"/>
      <c r="E832" s="4"/>
      <c r="F832" s="4"/>
      <c r="G832" s="4"/>
      <c r="H832" s="4"/>
      <c r="I832" s="4"/>
      <c r="J832" s="4"/>
      <c r="K832" s="4"/>
    </row>
    <row r="833" ht="15.75" customHeight="1">
      <c r="A833" s="4"/>
      <c r="B833" s="4"/>
      <c r="C833" s="4"/>
      <c r="D833" s="4"/>
      <c r="E833" s="4"/>
      <c r="F833" s="4"/>
      <c r="G833" s="4"/>
      <c r="H833" s="4"/>
      <c r="I833" s="4"/>
      <c r="J833" s="4"/>
      <c r="K833" s="4"/>
    </row>
    <row r="834" ht="15.75" customHeight="1">
      <c r="A834" s="4"/>
      <c r="B834" s="4"/>
      <c r="C834" s="4"/>
      <c r="D834" s="4"/>
      <c r="E834" s="4"/>
      <c r="F834" s="4"/>
      <c r="G834" s="4"/>
      <c r="H834" s="4"/>
      <c r="I834" s="4"/>
      <c r="J834" s="4"/>
      <c r="K834" s="4"/>
    </row>
    <row r="835" ht="15.75" customHeight="1">
      <c r="A835" s="4"/>
      <c r="B835" s="4"/>
      <c r="C835" s="4"/>
      <c r="D835" s="4"/>
      <c r="E835" s="4"/>
      <c r="F835" s="4"/>
      <c r="G835" s="4"/>
      <c r="H835" s="4"/>
      <c r="I835" s="4"/>
      <c r="J835" s="4"/>
      <c r="K835" s="4"/>
    </row>
    <row r="836" ht="15.75" customHeight="1">
      <c r="A836" s="4"/>
      <c r="B836" s="4"/>
      <c r="C836" s="4"/>
      <c r="D836" s="4"/>
      <c r="E836" s="4"/>
      <c r="F836" s="4"/>
      <c r="G836" s="4"/>
      <c r="H836" s="4"/>
      <c r="I836" s="4"/>
      <c r="J836" s="4"/>
      <c r="K836" s="4"/>
    </row>
    <row r="837" ht="15.75" customHeight="1">
      <c r="A837" s="4"/>
      <c r="B837" s="4"/>
      <c r="C837" s="4"/>
      <c r="D837" s="4"/>
      <c r="E837" s="4"/>
      <c r="F837" s="4"/>
      <c r="G837" s="4"/>
      <c r="H837" s="4"/>
      <c r="I837" s="4"/>
      <c r="J837" s="4"/>
      <c r="K837" s="4"/>
    </row>
    <row r="838" ht="15.75" customHeight="1">
      <c r="A838" s="4"/>
      <c r="B838" s="4"/>
      <c r="C838" s="4"/>
      <c r="D838" s="4"/>
      <c r="E838" s="4"/>
      <c r="F838" s="4"/>
      <c r="G838" s="4"/>
      <c r="H838" s="4"/>
      <c r="I838" s="4"/>
      <c r="J838" s="4"/>
      <c r="K838" s="4"/>
    </row>
    <row r="839" ht="15.75" customHeight="1">
      <c r="A839" s="4"/>
      <c r="B839" s="4"/>
      <c r="C839" s="4"/>
      <c r="D839" s="4"/>
      <c r="E839" s="4"/>
      <c r="F839" s="4"/>
      <c r="G839" s="4"/>
      <c r="H839" s="4"/>
      <c r="I839" s="4"/>
      <c r="J839" s="4"/>
      <c r="K839" s="4"/>
    </row>
    <row r="840" ht="15.75" customHeight="1">
      <c r="A840" s="4"/>
      <c r="B840" s="4"/>
      <c r="C840" s="4"/>
      <c r="D840" s="4"/>
      <c r="E840" s="4"/>
      <c r="F840" s="4"/>
      <c r="G840" s="4"/>
      <c r="H840" s="4"/>
      <c r="I840" s="4"/>
      <c r="J840" s="4"/>
      <c r="K840" s="4"/>
    </row>
    <row r="841" ht="15.75" customHeight="1">
      <c r="A841" s="4"/>
      <c r="B841" s="4"/>
      <c r="C841" s="4"/>
      <c r="D841" s="4"/>
      <c r="E841" s="4"/>
      <c r="F841" s="4"/>
      <c r="G841" s="4"/>
      <c r="H841" s="4"/>
      <c r="I841" s="4"/>
      <c r="J841" s="4"/>
      <c r="K841" s="4"/>
    </row>
    <row r="842" ht="15.75" customHeight="1">
      <c r="A842" s="4"/>
      <c r="B842" s="4"/>
      <c r="C842" s="4"/>
      <c r="D842" s="4"/>
      <c r="E842" s="4"/>
      <c r="F842" s="4"/>
      <c r="G842" s="4"/>
      <c r="H842" s="4"/>
      <c r="I842" s="4"/>
      <c r="J842" s="4"/>
      <c r="K842" s="4"/>
    </row>
    <row r="843" ht="15.75" customHeight="1">
      <c r="A843" s="4"/>
      <c r="B843" s="4"/>
      <c r="C843" s="4"/>
      <c r="D843" s="4"/>
      <c r="E843" s="4"/>
      <c r="F843" s="4"/>
      <c r="G843" s="4"/>
      <c r="H843" s="4"/>
      <c r="I843" s="4"/>
      <c r="J843" s="4"/>
      <c r="K843" s="4"/>
    </row>
    <row r="844" ht="15.75" customHeight="1">
      <c r="A844" s="4"/>
      <c r="B844" s="4"/>
      <c r="C844" s="4"/>
      <c r="D844" s="4"/>
      <c r="E844" s="4"/>
      <c r="F844" s="4"/>
      <c r="G844" s="4"/>
      <c r="H844" s="4"/>
      <c r="I844" s="4"/>
      <c r="J844" s="4"/>
      <c r="K844" s="4"/>
    </row>
    <row r="845" ht="15.75" customHeight="1">
      <c r="A845" s="4"/>
      <c r="B845" s="4"/>
      <c r="C845" s="4"/>
      <c r="D845" s="4"/>
      <c r="E845" s="4"/>
      <c r="F845" s="4"/>
      <c r="G845" s="4"/>
      <c r="H845" s="4"/>
      <c r="I845" s="4"/>
      <c r="J845" s="4"/>
      <c r="K845" s="4"/>
    </row>
    <row r="846" ht="15.75" customHeight="1">
      <c r="A846" s="4"/>
      <c r="B846" s="4"/>
      <c r="C846" s="4"/>
      <c r="D846" s="4"/>
      <c r="E846" s="4"/>
      <c r="F846" s="4"/>
      <c r="G846" s="4"/>
      <c r="H846" s="4"/>
      <c r="I846" s="4"/>
      <c r="J846" s="4"/>
      <c r="K846" s="4"/>
    </row>
    <row r="847" ht="15.75" customHeight="1">
      <c r="A847" s="4"/>
      <c r="B847" s="4"/>
      <c r="C847" s="4"/>
      <c r="D847" s="4"/>
      <c r="E847" s="4"/>
      <c r="F847" s="4"/>
      <c r="G847" s="4"/>
      <c r="H847" s="4"/>
      <c r="I847" s="4"/>
      <c r="J847" s="4"/>
      <c r="K847" s="4"/>
    </row>
    <row r="848" ht="15.75" customHeight="1">
      <c r="A848" s="4"/>
      <c r="B848" s="4"/>
      <c r="C848" s="4"/>
      <c r="D848" s="4"/>
      <c r="E848" s="4"/>
      <c r="F848" s="4"/>
      <c r="G848" s="4"/>
      <c r="H848" s="4"/>
      <c r="I848" s="4"/>
      <c r="J848" s="4"/>
      <c r="K848" s="4"/>
    </row>
    <row r="849" ht="15.75" customHeight="1">
      <c r="A849" s="4"/>
      <c r="B849" s="4"/>
      <c r="C849" s="4"/>
      <c r="D849" s="4"/>
      <c r="E849" s="4"/>
      <c r="F849" s="4"/>
      <c r="G849" s="4"/>
      <c r="H849" s="4"/>
      <c r="I849" s="4"/>
      <c r="J849" s="4"/>
      <c r="K849" s="4"/>
    </row>
    <row r="850" ht="15.75" customHeight="1">
      <c r="A850" s="4"/>
      <c r="B850" s="4"/>
      <c r="C850" s="4"/>
      <c r="D850" s="4"/>
      <c r="E850" s="4"/>
      <c r="F850" s="4"/>
      <c r="G850" s="4"/>
      <c r="H850" s="4"/>
      <c r="I850" s="4"/>
      <c r="J850" s="4"/>
      <c r="K850" s="4"/>
    </row>
    <row r="851" ht="15.75" customHeight="1">
      <c r="A851" s="4"/>
      <c r="B851" s="4"/>
      <c r="C851" s="4"/>
      <c r="D851" s="4"/>
      <c r="E851" s="4"/>
      <c r="F851" s="4"/>
      <c r="G851" s="4"/>
      <c r="H851" s="4"/>
      <c r="I851" s="4"/>
      <c r="J851" s="4"/>
      <c r="K851" s="4"/>
    </row>
    <row r="852" ht="15.75" customHeight="1">
      <c r="A852" s="4"/>
      <c r="B852" s="4"/>
      <c r="C852" s="4"/>
      <c r="D852" s="4"/>
      <c r="E852" s="4"/>
      <c r="F852" s="4"/>
      <c r="G852" s="4"/>
      <c r="H852" s="4"/>
      <c r="I852" s="4"/>
      <c r="J852" s="4"/>
      <c r="K852" s="4"/>
    </row>
    <row r="853" ht="15.75" customHeight="1">
      <c r="A853" s="4"/>
      <c r="B853" s="4"/>
      <c r="C853" s="4"/>
      <c r="D853" s="4"/>
      <c r="E853" s="4"/>
      <c r="F853" s="4"/>
      <c r="G853" s="4"/>
      <c r="H853" s="4"/>
      <c r="I853" s="4"/>
      <c r="J853" s="4"/>
      <c r="K853" s="4"/>
    </row>
    <row r="854" ht="15.75" customHeight="1">
      <c r="A854" s="4"/>
      <c r="B854" s="4"/>
      <c r="C854" s="4"/>
      <c r="D854" s="4"/>
      <c r="E854" s="4"/>
      <c r="F854" s="4"/>
      <c r="G854" s="4"/>
      <c r="H854" s="4"/>
      <c r="I854" s="4"/>
      <c r="J854" s="4"/>
      <c r="K854" s="4"/>
    </row>
    <row r="855" ht="15.75" customHeight="1">
      <c r="A855" s="4"/>
      <c r="B855" s="4"/>
      <c r="C855" s="4"/>
      <c r="D855" s="4"/>
      <c r="E855" s="4"/>
      <c r="F855" s="4"/>
      <c r="G855" s="4"/>
      <c r="H855" s="4"/>
      <c r="I855" s="4"/>
      <c r="J855" s="4"/>
      <c r="K855" s="4"/>
    </row>
    <row r="856" ht="15.75" customHeight="1">
      <c r="A856" s="4"/>
      <c r="B856" s="4"/>
      <c r="C856" s="4"/>
      <c r="D856" s="4"/>
      <c r="E856" s="4"/>
      <c r="F856" s="4"/>
      <c r="G856" s="4"/>
      <c r="H856" s="4"/>
      <c r="I856" s="4"/>
      <c r="J856" s="4"/>
      <c r="K856" s="4"/>
    </row>
    <row r="857" ht="15.75" customHeight="1">
      <c r="A857" s="4"/>
      <c r="B857" s="4"/>
      <c r="C857" s="4"/>
      <c r="D857" s="4"/>
      <c r="E857" s="4"/>
      <c r="F857" s="4"/>
      <c r="G857" s="4"/>
      <c r="H857" s="4"/>
      <c r="I857" s="4"/>
      <c r="J857" s="4"/>
      <c r="K857" s="4"/>
    </row>
    <row r="858" ht="15.75" customHeight="1">
      <c r="A858" s="4"/>
      <c r="B858" s="4"/>
      <c r="C858" s="4"/>
      <c r="D858" s="4"/>
      <c r="E858" s="4"/>
      <c r="F858" s="4"/>
      <c r="G858" s="4"/>
      <c r="H858" s="4"/>
      <c r="I858" s="4"/>
      <c r="J858" s="4"/>
      <c r="K858" s="4"/>
    </row>
    <row r="859" ht="15.75" customHeight="1">
      <c r="A859" s="4"/>
      <c r="B859" s="4"/>
      <c r="C859" s="4"/>
      <c r="D859" s="4"/>
      <c r="E859" s="4"/>
      <c r="F859" s="4"/>
      <c r="G859" s="4"/>
      <c r="H859" s="4"/>
      <c r="I859" s="4"/>
      <c r="J859" s="4"/>
      <c r="K859" s="4"/>
    </row>
    <row r="860" ht="15.75" customHeight="1">
      <c r="A860" s="4"/>
      <c r="B860" s="4"/>
      <c r="C860" s="4"/>
      <c r="D860" s="4"/>
      <c r="E860" s="4"/>
      <c r="F860" s="4"/>
      <c r="G860" s="4"/>
      <c r="H860" s="4"/>
      <c r="I860" s="4"/>
      <c r="J860" s="4"/>
      <c r="K860" s="4"/>
    </row>
    <row r="861" ht="15.75" customHeight="1">
      <c r="A861" s="4"/>
      <c r="B861" s="4"/>
      <c r="C861" s="4"/>
      <c r="D861" s="4"/>
      <c r="E861" s="4"/>
      <c r="F861" s="4"/>
      <c r="G861" s="4"/>
      <c r="H861" s="4"/>
      <c r="I861" s="4"/>
      <c r="J861" s="4"/>
      <c r="K861" s="4"/>
    </row>
    <row r="862" ht="15.75" customHeight="1">
      <c r="A862" s="4"/>
      <c r="B862" s="4"/>
      <c r="C862" s="4"/>
      <c r="D862" s="4"/>
      <c r="E862" s="4"/>
      <c r="F862" s="4"/>
      <c r="G862" s="4"/>
      <c r="H862" s="4"/>
      <c r="I862" s="4"/>
      <c r="J862" s="4"/>
      <c r="K862" s="4"/>
    </row>
    <row r="863" ht="15.75" customHeight="1">
      <c r="A863" s="4"/>
      <c r="B863" s="4"/>
      <c r="C863" s="4"/>
      <c r="D863" s="4"/>
      <c r="E863" s="4"/>
      <c r="F863" s="4"/>
      <c r="G863" s="4"/>
      <c r="H863" s="4"/>
      <c r="I863" s="4"/>
      <c r="J863" s="4"/>
      <c r="K863" s="4"/>
    </row>
    <row r="864" ht="15.75" customHeight="1">
      <c r="A864" s="4"/>
      <c r="B864" s="4"/>
      <c r="C864" s="4"/>
      <c r="D864" s="4"/>
      <c r="E864" s="4"/>
      <c r="F864" s="4"/>
      <c r="G864" s="4"/>
      <c r="H864" s="4"/>
      <c r="I864" s="4"/>
      <c r="J864" s="4"/>
      <c r="K864" s="4"/>
    </row>
    <row r="865" ht="15.75" customHeight="1">
      <c r="A865" s="4"/>
      <c r="B865" s="4"/>
      <c r="C865" s="4"/>
      <c r="D865" s="4"/>
      <c r="E865" s="4"/>
      <c r="F865" s="4"/>
      <c r="G865" s="4"/>
      <c r="H865" s="4"/>
      <c r="I865" s="4"/>
      <c r="J865" s="4"/>
      <c r="K865" s="4"/>
    </row>
    <row r="866" ht="15.75" customHeight="1">
      <c r="A866" s="4"/>
      <c r="B866" s="4"/>
      <c r="C866" s="4"/>
      <c r="D866" s="4"/>
      <c r="E866" s="4"/>
      <c r="F866" s="4"/>
      <c r="G866" s="4"/>
      <c r="H866" s="4"/>
      <c r="I866" s="4"/>
      <c r="J866" s="4"/>
      <c r="K866" s="4"/>
    </row>
    <row r="867" ht="15.75" customHeight="1">
      <c r="A867" s="4"/>
      <c r="B867" s="4"/>
      <c r="C867" s="4"/>
      <c r="D867" s="4"/>
      <c r="E867" s="4"/>
      <c r="F867" s="4"/>
      <c r="G867" s="4"/>
      <c r="H867" s="4"/>
      <c r="I867" s="4"/>
      <c r="J867" s="4"/>
      <c r="K867" s="4"/>
    </row>
    <row r="868" ht="15.75" customHeight="1">
      <c r="A868" s="4"/>
      <c r="B868" s="4"/>
      <c r="C868" s="4"/>
      <c r="D868" s="4"/>
      <c r="E868" s="4"/>
      <c r="F868" s="4"/>
      <c r="G868" s="4"/>
      <c r="H868" s="4"/>
      <c r="I868" s="4"/>
      <c r="J868" s="4"/>
      <c r="K868" s="4"/>
    </row>
    <row r="869" ht="15.75" customHeight="1">
      <c r="A869" s="4"/>
      <c r="B869" s="4"/>
      <c r="C869" s="4"/>
      <c r="D869" s="4"/>
      <c r="E869" s="4"/>
      <c r="F869" s="4"/>
      <c r="G869" s="4"/>
      <c r="H869" s="4"/>
      <c r="I869" s="4"/>
      <c r="J869" s="4"/>
      <c r="K869" s="4"/>
    </row>
    <row r="870" ht="15.75" customHeight="1">
      <c r="A870" s="4"/>
      <c r="B870" s="4"/>
      <c r="C870" s="4"/>
      <c r="D870" s="4"/>
      <c r="E870" s="4"/>
      <c r="F870" s="4"/>
      <c r="G870" s="4"/>
      <c r="H870" s="4"/>
      <c r="I870" s="4"/>
      <c r="J870" s="4"/>
      <c r="K870" s="4"/>
    </row>
    <row r="871" ht="15.75" customHeight="1">
      <c r="A871" s="4"/>
      <c r="B871" s="4"/>
      <c r="C871" s="4"/>
      <c r="D871" s="4"/>
      <c r="E871" s="4"/>
      <c r="F871" s="4"/>
      <c r="G871" s="4"/>
      <c r="H871" s="4"/>
      <c r="I871" s="4"/>
      <c r="J871" s="4"/>
      <c r="K871" s="4"/>
    </row>
    <row r="872" ht="15.75" customHeight="1">
      <c r="A872" s="4"/>
      <c r="B872" s="4"/>
      <c r="C872" s="4"/>
      <c r="D872" s="4"/>
      <c r="E872" s="4"/>
      <c r="F872" s="4"/>
      <c r="G872" s="4"/>
      <c r="H872" s="4"/>
      <c r="I872" s="4"/>
      <c r="J872" s="4"/>
      <c r="K872" s="4"/>
    </row>
    <row r="873" ht="15.75" customHeight="1">
      <c r="A873" s="4"/>
      <c r="B873" s="4"/>
      <c r="C873" s="4"/>
      <c r="D873" s="4"/>
      <c r="E873" s="4"/>
      <c r="F873" s="4"/>
      <c r="G873" s="4"/>
      <c r="H873" s="4"/>
      <c r="I873" s="4"/>
      <c r="J873" s="4"/>
      <c r="K873" s="4"/>
    </row>
    <row r="874" ht="15.75" customHeight="1">
      <c r="A874" s="4"/>
      <c r="B874" s="4"/>
      <c r="C874" s="4"/>
      <c r="D874" s="4"/>
      <c r="E874" s="4"/>
      <c r="F874" s="4"/>
      <c r="G874" s="4"/>
      <c r="H874" s="4"/>
      <c r="I874" s="4"/>
      <c r="J874" s="4"/>
      <c r="K874" s="4"/>
    </row>
    <row r="875" ht="15.75" customHeight="1">
      <c r="A875" s="4"/>
      <c r="B875" s="4"/>
      <c r="C875" s="4"/>
      <c r="D875" s="4"/>
      <c r="E875" s="4"/>
      <c r="F875" s="4"/>
      <c r="G875" s="4"/>
      <c r="H875" s="4"/>
      <c r="I875" s="4"/>
      <c r="J875" s="4"/>
      <c r="K875" s="4"/>
    </row>
    <row r="876" ht="15.75" customHeight="1">
      <c r="A876" s="4"/>
      <c r="B876" s="4"/>
      <c r="C876" s="4"/>
      <c r="D876" s="4"/>
      <c r="E876" s="4"/>
      <c r="F876" s="4"/>
      <c r="G876" s="4"/>
      <c r="H876" s="4"/>
      <c r="I876" s="4"/>
      <c r="J876" s="4"/>
      <c r="K876" s="4"/>
    </row>
    <row r="877" ht="15.75" customHeight="1">
      <c r="A877" s="4"/>
      <c r="B877" s="4"/>
      <c r="C877" s="4"/>
      <c r="D877" s="4"/>
      <c r="E877" s="4"/>
      <c r="F877" s="4"/>
      <c r="G877" s="4"/>
      <c r="H877" s="4"/>
      <c r="I877" s="4"/>
      <c r="J877" s="4"/>
      <c r="K877" s="4"/>
    </row>
    <row r="878" ht="15.75" customHeight="1">
      <c r="A878" s="4"/>
      <c r="B878" s="4"/>
      <c r="C878" s="4"/>
      <c r="D878" s="4"/>
      <c r="E878" s="4"/>
      <c r="F878" s="4"/>
      <c r="G878" s="4"/>
      <c r="H878" s="4"/>
      <c r="I878" s="4"/>
      <c r="J878" s="4"/>
      <c r="K878" s="4"/>
    </row>
    <row r="879" ht="15.75" customHeight="1">
      <c r="A879" s="4"/>
      <c r="B879" s="4"/>
      <c r="C879" s="4"/>
      <c r="D879" s="4"/>
      <c r="E879" s="4"/>
      <c r="F879" s="4"/>
      <c r="G879" s="4"/>
      <c r="H879" s="4"/>
      <c r="I879" s="4"/>
      <c r="J879" s="4"/>
      <c r="K879" s="4"/>
    </row>
    <row r="880" ht="15.75" customHeight="1">
      <c r="A880" s="4"/>
      <c r="B880" s="4"/>
      <c r="C880" s="4"/>
      <c r="D880" s="4"/>
      <c r="E880" s="4"/>
      <c r="F880" s="4"/>
      <c r="G880" s="4"/>
      <c r="H880" s="4"/>
      <c r="I880" s="4"/>
      <c r="J880" s="4"/>
      <c r="K880" s="4"/>
    </row>
    <row r="881" ht="15.75" customHeight="1">
      <c r="A881" s="4"/>
      <c r="B881" s="4"/>
      <c r="C881" s="4"/>
      <c r="D881" s="4"/>
      <c r="E881" s="4"/>
      <c r="F881" s="4"/>
      <c r="G881" s="4"/>
      <c r="H881" s="4"/>
      <c r="I881" s="4"/>
      <c r="J881" s="4"/>
      <c r="K881" s="4"/>
    </row>
    <row r="882" ht="15.75" customHeight="1">
      <c r="A882" s="4"/>
      <c r="B882" s="4"/>
      <c r="C882" s="4"/>
      <c r="D882" s="4"/>
      <c r="E882" s="4"/>
      <c r="F882" s="4"/>
      <c r="G882" s="4"/>
      <c r="H882" s="4"/>
      <c r="I882" s="4"/>
      <c r="J882" s="4"/>
      <c r="K882" s="4"/>
    </row>
    <row r="883" ht="15.75" customHeight="1">
      <c r="A883" s="4"/>
      <c r="B883" s="4"/>
      <c r="C883" s="4"/>
      <c r="D883" s="4"/>
      <c r="E883" s="4"/>
      <c r="F883" s="4"/>
      <c r="G883" s="4"/>
      <c r="H883" s="4"/>
      <c r="I883" s="4"/>
      <c r="J883" s="4"/>
      <c r="K883" s="4"/>
    </row>
    <row r="884" ht="15.75" customHeight="1">
      <c r="A884" s="4"/>
      <c r="B884" s="4"/>
      <c r="C884" s="4"/>
      <c r="D884" s="4"/>
      <c r="E884" s="4"/>
      <c r="F884" s="4"/>
      <c r="G884" s="4"/>
      <c r="H884" s="4"/>
      <c r="I884" s="4"/>
      <c r="J884" s="4"/>
      <c r="K884" s="4"/>
    </row>
    <row r="885" ht="15.75" customHeight="1">
      <c r="A885" s="4"/>
      <c r="B885" s="4"/>
      <c r="C885" s="4"/>
      <c r="D885" s="4"/>
      <c r="E885" s="4"/>
      <c r="F885" s="4"/>
      <c r="G885" s="4"/>
      <c r="H885" s="4"/>
      <c r="I885" s="4"/>
      <c r="J885" s="4"/>
      <c r="K885" s="4"/>
    </row>
    <row r="886" ht="15.75" customHeight="1">
      <c r="A886" s="4"/>
      <c r="B886" s="4"/>
      <c r="C886" s="4"/>
      <c r="D886" s="4"/>
      <c r="E886" s="4"/>
      <c r="F886" s="4"/>
      <c r="G886" s="4"/>
      <c r="H886" s="4"/>
      <c r="I886" s="4"/>
      <c r="J886" s="4"/>
      <c r="K886" s="4"/>
    </row>
    <row r="887" ht="15.75" customHeight="1">
      <c r="A887" s="4"/>
      <c r="B887" s="4"/>
      <c r="C887" s="4"/>
      <c r="D887" s="4"/>
      <c r="E887" s="4"/>
      <c r="F887" s="4"/>
      <c r="G887" s="4"/>
      <c r="H887" s="4"/>
      <c r="I887" s="4"/>
      <c r="J887" s="4"/>
      <c r="K887" s="4"/>
    </row>
    <row r="888" ht="15.75" customHeight="1">
      <c r="A888" s="4"/>
      <c r="B888" s="4"/>
      <c r="C888" s="4"/>
      <c r="D888" s="4"/>
      <c r="E888" s="4"/>
      <c r="F888" s="4"/>
      <c r="G888" s="4"/>
      <c r="H888" s="4"/>
      <c r="I888" s="4"/>
      <c r="J888" s="4"/>
      <c r="K888" s="4"/>
    </row>
    <row r="889" ht="15.75" customHeight="1">
      <c r="A889" s="4"/>
      <c r="B889" s="4"/>
      <c r="C889" s="4"/>
      <c r="D889" s="4"/>
      <c r="E889" s="4"/>
      <c r="F889" s="4"/>
      <c r="G889" s="4"/>
      <c r="H889" s="4"/>
      <c r="I889" s="4"/>
      <c r="J889" s="4"/>
      <c r="K889" s="4"/>
    </row>
    <row r="890" ht="15.75" customHeight="1">
      <c r="A890" s="4"/>
      <c r="B890" s="4"/>
      <c r="C890" s="4"/>
      <c r="D890" s="4"/>
      <c r="E890" s="4"/>
      <c r="F890" s="4"/>
      <c r="G890" s="4"/>
      <c r="H890" s="4"/>
      <c r="I890" s="4"/>
      <c r="J890" s="4"/>
      <c r="K890" s="4"/>
    </row>
    <row r="891" ht="15.75" customHeight="1">
      <c r="A891" s="4"/>
      <c r="B891" s="4"/>
      <c r="C891" s="4"/>
      <c r="D891" s="4"/>
      <c r="E891" s="4"/>
      <c r="F891" s="4"/>
      <c r="G891" s="4"/>
      <c r="H891" s="4"/>
      <c r="I891" s="4"/>
      <c r="J891" s="4"/>
      <c r="K891" s="4"/>
    </row>
    <row r="892" ht="15.75" customHeight="1">
      <c r="A892" s="4"/>
      <c r="B892" s="4"/>
      <c r="C892" s="4"/>
      <c r="D892" s="4"/>
      <c r="E892" s="4"/>
      <c r="F892" s="4"/>
      <c r="G892" s="4"/>
      <c r="H892" s="4"/>
      <c r="I892" s="4"/>
      <c r="J892" s="4"/>
      <c r="K892" s="4"/>
    </row>
    <row r="893" ht="15.75" customHeight="1">
      <c r="A893" s="4"/>
      <c r="B893" s="4"/>
      <c r="C893" s="4"/>
      <c r="D893" s="4"/>
      <c r="E893" s="4"/>
      <c r="F893" s="4"/>
      <c r="G893" s="4"/>
      <c r="H893" s="4"/>
      <c r="I893" s="4"/>
      <c r="J893" s="4"/>
      <c r="K893" s="4"/>
    </row>
    <row r="894" ht="15.75" customHeight="1">
      <c r="A894" s="4"/>
      <c r="B894" s="4"/>
      <c r="C894" s="4"/>
      <c r="D894" s="4"/>
      <c r="E894" s="4"/>
      <c r="F894" s="4"/>
      <c r="G894" s="4"/>
      <c r="H894" s="4"/>
      <c r="I894" s="4"/>
      <c r="J894" s="4"/>
      <c r="K894" s="4"/>
    </row>
    <row r="895" ht="15.75" customHeight="1">
      <c r="A895" s="4"/>
      <c r="B895" s="4"/>
      <c r="C895" s="4"/>
      <c r="D895" s="4"/>
      <c r="E895" s="4"/>
      <c r="F895" s="4"/>
      <c r="G895" s="4"/>
      <c r="H895" s="4"/>
      <c r="I895" s="4"/>
      <c r="J895" s="4"/>
      <c r="K895" s="4"/>
    </row>
    <row r="896" ht="15.75" customHeight="1">
      <c r="A896" s="4"/>
      <c r="B896" s="4"/>
      <c r="C896" s="4"/>
      <c r="D896" s="4"/>
      <c r="E896" s="4"/>
      <c r="F896" s="4"/>
      <c r="G896" s="4"/>
      <c r="H896" s="4"/>
      <c r="I896" s="4"/>
      <c r="J896" s="4"/>
      <c r="K896" s="4"/>
    </row>
    <row r="897" ht="15.75" customHeight="1">
      <c r="A897" s="4"/>
      <c r="B897" s="4"/>
      <c r="C897" s="4"/>
      <c r="D897" s="4"/>
      <c r="E897" s="4"/>
      <c r="F897" s="4"/>
      <c r="G897" s="4"/>
      <c r="H897" s="4"/>
      <c r="I897" s="4"/>
      <c r="J897" s="4"/>
      <c r="K897" s="4"/>
    </row>
    <row r="898" ht="15.75" customHeight="1">
      <c r="A898" s="4"/>
      <c r="B898" s="4"/>
      <c r="C898" s="4"/>
      <c r="D898" s="4"/>
      <c r="E898" s="4"/>
      <c r="F898" s="4"/>
      <c r="G898" s="4"/>
      <c r="H898" s="4"/>
      <c r="I898" s="4"/>
      <c r="J898" s="4"/>
      <c r="K898" s="4"/>
    </row>
    <row r="899" ht="15.75" customHeight="1">
      <c r="A899" s="4"/>
      <c r="B899" s="4"/>
      <c r="C899" s="4"/>
      <c r="D899" s="4"/>
      <c r="E899" s="4"/>
      <c r="F899" s="4"/>
      <c r="G899" s="4"/>
      <c r="H899" s="4"/>
      <c r="I899" s="4"/>
      <c r="J899" s="4"/>
      <c r="K899" s="4"/>
    </row>
    <row r="900" ht="15.75" customHeight="1">
      <c r="A900" s="4"/>
      <c r="B900" s="4"/>
      <c r="C900" s="4"/>
      <c r="D900" s="4"/>
      <c r="E900" s="4"/>
      <c r="F900" s="4"/>
      <c r="G900" s="4"/>
      <c r="H900" s="4"/>
      <c r="I900" s="4"/>
      <c r="J900" s="4"/>
      <c r="K900" s="4"/>
    </row>
    <row r="901" ht="15.75" customHeight="1">
      <c r="A901" s="4"/>
      <c r="B901" s="4"/>
      <c r="C901" s="4"/>
      <c r="D901" s="4"/>
      <c r="E901" s="4"/>
      <c r="F901" s="4"/>
      <c r="G901" s="4"/>
      <c r="H901" s="4"/>
      <c r="I901" s="4"/>
      <c r="J901" s="4"/>
      <c r="K901" s="4"/>
    </row>
    <row r="902" ht="15.75" customHeight="1">
      <c r="A902" s="4"/>
      <c r="B902" s="4"/>
      <c r="C902" s="4"/>
      <c r="D902" s="4"/>
      <c r="E902" s="4"/>
      <c r="F902" s="4"/>
      <c r="G902" s="4"/>
      <c r="H902" s="4"/>
      <c r="I902" s="4"/>
      <c r="J902" s="4"/>
      <c r="K902" s="4"/>
    </row>
    <row r="903" ht="15.75" customHeight="1">
      <c r="A903" s="4"/>
      <c r="B903" s="4"/>
      <c r="C903" s="4"/>
      <c r="D903" s="4"/>
      <c r="E903" s="4"/>
      <c r="F903" s="4"/>
      <c r="G903" s="4"/>
      <c r="H903" s="4"/>
      <c r="I903" s="4"/>
      <c r="J903" s="4"/>
      <c r="K903" s="4"/>
    </row>
    <row r="904" ht="15.75" customHeight="1">
      <c r="A904" s="4"/>
      <c r="B904" s="4"/>
      <c r="C904" s="4"/>
      <c r="D904" s="4"/>
      <c r="E904" s="4"/>
      <c r="F904" s="4"/>
      <c r="G904" s="4"/>
      <c r="H904" s="4"/>
      <c r="I904" s="4"/>
      <c r="J904" s="4"/>
      <c r="K904" s="4"/>
    </row>
    <row r="905" ht="15.75" customHeight="1">
      <c r="A905" s="4"/>
      <c r="B905" s="4"/>
      <c r="C905" s="4"/>
      <c r="D905" s="4"/>
      <c r="E905" s="4"/>
      <c r="F905" s="4"/>
      <c r="G905" s="4"/>
      <c r="H905" s="4"/>
      <c r="I905" s="4"/>
      <c r="J905" s="4"/>
      <c r="K905" s="4"/>
    </row>
    <row r="906" ht="15.75" customHeight="1">
      <c r="A906" s="4"/>
      <c r="B906" s="4"/>
      <c r="C906" s="4"/>
      <c r="D906" s="4"/>
      <c r="E906" s="4"/>
      <c r="F906" s="4"/>
      <c r="G906" s="4"/>
      <c r="H906" s="4"/>
      <c r="I906" s="4"/>
      <c r="J906" s="4"/>
      <c r="K906" s="4"/>
    </row>
    <row r="907" ht="15.75" customHeight="1">
      <c r="A907" s="4"/>
      <c r="B907" s="4"/>
      <c r="C907" s="4"/>
      <c r="D907" s="4"/>
      <c r="E907" s="4"/>
      <c r="F907" s="4"/>
      <c r="G907" s="4"/>
      <c r="H907" s="4"/>
      <c r="I907" s="4"/>
      <c r="J907" s="4"/>
      <c r="K907" s="4"/>
    </row>
    <row r="908" ht="15.75" customHeight="1">
      <c r="A908" s="4"/>
      <c r="B908" s="4"/>
      <c r="C908" s="4"/>
      <c r="D908" s="4"/>
      <c r="E908" s="4"/>
      <c r="F908" s="4"/>
      <c r="G908" s="4"/>
      <c r="H908" s="4"/>
      <c r="I908" s="4"/>
      <c r="J908" s="4"/>
      <c r="K908" s="4"/>
    </row>
    <row r="909" ht="15.75" customHeight="1">
      <c r="A909" s="4"/>
      <c r="B909" s="4"/>
      <c r="C909" s="4"/>
      <c r="D909" s="4"/>
      <c r="E909" s="4"/>
      <c r="F909" s="4"/>
      <c r="G909" s="4"/>
      <c r="H909" s="4"/>
      <c r="I909" s="4"/>
      <c r="J909" s="4"/>
      <c r="K909" s="4"/>
    </row>
    <row r="910" ht="15.75" customHeight="1">
      <c r="A910" s="4"/>
      <c r="B910" s="4"/>
      <c r="C910" s="4"/>
      <c r="D910" s="4"/>
      <c r="E910" s="4"/>
      <c r="F910" s="4"/>
      <c r="G910" s="4"/>
      <c r="H910" s="4"/>
      <c r="I910" s="4"/>
      <c r="J910" s="4"/>
      <c r="K910" s="4"/>
    </row>
    <row r="911" ht="15.75" customHeight="1">
      <c r="A911" s="4"/>
      <c r="B911" s="4"/>
      <c r="C911" s="4"/>
      <c r="D911" s="4"/>
      <c r="E911" s="4"/>
      <c r="F911" s="4"/>
      <c r="G911" s="4"/>
      <c r="H911" s="4"/>
      <c r="I911" s="4"/>
      <c r="J911" s="4"/>
      <c r="K911" s="4"/>
    </row>
    <row r="912" ht="15.75" customHeight="1">
      <c r="A912" s="4"/>
      <c r="B912" s="4"/>
      <c r="C912" s="4"/>
      <c r="D912" s="4"/>
      <c r="E912" s="4"/>
      <c r="F912" s="4"/>
      <c r="G912" s="4"/>
      <c r="H912" s="4"/>
      <c r="I912" s="4"/>
      <c r="J912" s="4"/>
      <c r="K912" s="4"/>
    </row>
    <row r="913" ht="15.75" customHeight="1">
      <c r="A913" s="4"/>
      <c r="B913" s="4"/>
      <c r="C913" s="4"/>
      <c r="D913" s="4"/>
      <c r="E913" s="4"/>
      <c r="F913" s="4"/>
      <c r="G913" s="4"/>
      <c r="H913" s="4"/>
      <c r="I913" s="4"/>
      <c r="J913" s="4"/>
      <c r="K913" s="4"/>
    </row>
    <row r="914" ht="15.75" customHeight="1">
      <c r="A914" s="4"/>
      <c r="B914" s="4"/>
      <c r="C914" s="4"/>
      <c r="D914" s="4"/>
      <c r="E914" s="4"/>
      <c r="F914" s="4"/>
      <c r="G914" s="4"/>
      <c r="H914" s="4"/>
      <c r="I914" s="4"/>
      <c r="J914" s="4"/>
      <c r="K914" s="4"/>
    </row>
    <row r="915" ht="15.75" customHeight="1">
      <c r="A915" s="4"/>
      <c r="B915" s="4"/>
      <c r="C915" s="4"/>
      <c r="D915" s="4"/>
      <c r="E915" s="4"/>
      <c r="F915" s="4"/>
      <c r="G915" s="4"/>
      <c r="H915" s="4"/>
      <c r="I915" s="4"/>
      <c r="J915" s="4"/>
      <c r="K915" s="4"/>
    </row>
    <row r="916" ht="15.75" customHeight="1">
      <c r="A916" s="4"/>
      <c r="B916" s="4"/>
      <c r="C916" s="4"/>
      <c r="D916" s="4"/>
      <c r="E916" s="4"/>
      <c r="F916" s="4"/>
      <c r="G916" s="4"/>
      <c r="H916" s="4"/>
      <c r="I916" s="4"/>
      <c r="J916" s="4"/>
      <c r="K916" s="4"/>
    </row>
    <row r="917" ht="15.75" customHeight="1">
      <c r="A917" s="4"/>
      <c r="B917" s="4"/>
      <c r="C917" s="4"/>
      <c r="D917" s="4"/>
      <c r="E917" s="4"/>
      <c r="F917" s="4"/>
      <c r="G917" s="4"/>
      <c r="H917" s="4"/>
      <c r="I917" s="4"/>
      <c r="J917" s="4"/>
      <c r="K917" s="4"/>
    </row>
    <row r="918" ht="15.75" customHeight="1">
      <c r="A918" s="4"/>
      <c r="B918" s="4"/>
      <c r="C918" s="4"/>
      <c r="D918" s="4"/>
      <c r="E918" s="4"/>
      <c r="F918" s="4"/>
      <c r="G918" s="4"/>
      <c r="H918" s="4"/>
      <c r="I918" s="4"/>
      <c r="J918" s="4"/>
      <c r="K918" s="4"/>
    </row>
    <row r="919" ht="15.75" customHeight="1">
      <c r="A919" s="4"/>
      <c r="B919" s="4"/>
      <c r="C919" s="4"/>
      <c r="D919" s="4"/>
      <c r="E919" s="4"/>
      <c r="F919" s="4"/>
      <c r="G919" s="4"/>
      <c r="H919" s="4"/>
      <c r="I919" s="4"/>
      <c r="J919" s="4"/>
      <c r="K919" s="4"/>
    </row>
    <row r="920" ht="15.75" customHeight="1">
      <c r="A920" s="4"/>
      <c r="B920" s="4"/>
      <c r="C920" s="4"/>
      <c r="D920" s="4"/>
      <c r="E920" s="4"/>
      <c r="F920" s="4"/>
      <c r="G920" s="4"/>
      <c r="H920" s="4"/>
      <c r="I920" s="4"/>
      <c r="J920" s="4"/>
      <c r="K920" s="4"/>
    </row>
    <row r="921" ht="15.75" customHeight="1">
      <c r="A921" s="4"/>
      <c r="B921" s="4"/>
      <c r="C921" s="4"/>
      <c r="D921" s="4"/>
      <c r="E921" s="4"/>
      <c r="F921" s="4"/>
      <c r="G921" s="4"/>
      <c r="H921" s="4"/>
      <c r="I921" s="4"/>
      <c r="J921" s="4"/>
      <c r="K921" s="4"/>
    </row>
    <row r="922" ht="15.75" customHeight="1">
      <c r="A922" s="4"/>
      <c r="B922" s="4"/>
      <c r="C922" s="4"/>
      <c r="D922" s="4"/>
      <c r="E922" s="4"/>
      <c r="F922" s="4"/>
      <c r="G922" s="4"/>
      <c r="H922" s="4"/>
      <c r="I922" s="4"/>
      <c r="J922" s="4"/>
      <c r="K922" s="4"/>
    </row>
    <row r="923" ht="15.75" customHeight="1">
      <c r="A923" s="4"/>
      <c r="B923" s="4"/>
      <c r="C923" s="4"/>
      <c r="D923" s="4"/>
      <c r="E923" s="4"/>
      <c r="F923" s="4"/>
      <c r="G923" s="4"/>
      <c r="H923" s="4"/>
      <c r="I923" s="4"/>
      <c r="J923" s="4"/>
      <c r="K923" s="4"/>
    </row>
    <row r="924" ht="15.75" customHeight="1">
      <c r="A924" s="4"/>
      <c r="B924" s="4"/>
      <c r="C924" s="4"/>
      <c r="D924" s="4"/>
      <c r="E924" s="4"/>
      <c r="F924" s="4"/>
      <c r="G924" s="4"/>
      <c r="H924" s="4"/>
      <c r="I924" s="4"/>
      <c r="J924" s="4"/>
      <c r="K924" s="4"/>
    </row>
    <row r="925" ht="15.75" customHeight="1">
      <c r="A925" s="4"/>
      <c r="B925" s="4"/>
      <c r="C925" s="4"/>
      <c r="D925" s="4"/>
      <c r="E925" s="4"/>
      <c r="F925" s="4"/>
      <c r="G925" s="4"/>
      <c r="H925" s="4"/>
      <c r="I925" s="4"/>
      <c r="J925" s="4"/>
      <c r="K925" s="4"/>
    </row>
    <row r="926" ht="15.75" customHeight="1">
      <c r="A926" s="4"/>
      <c r="B926" s="4"/>
      <c r="C926" s="4"/>
      <c r="D926" s="4"/>
      <c r="E926" s="4"/>
      <c r="F926" s="4"/>
      <c r="G926" s="4"/>
      <c r="H926" s="4"/>
      <c r="I926" s="4"/>
      <c r="J926" s="4"/>
      <c r="K926" s="4"/>
    </row>
    <row r="927" ht="15.75" customHeight="1">
      <c r="A927" s="4"/>
      <c r="B927" s="4"/>
      <c r="C927" s="4"/>
      <c r="D927" s="4"/>
      <c r="E927" s="4"/>
      <c r="F927" s="4"/>
      <c r="G927" s="4"/>
      <c r="H927" s="4"/>
      <c r="I927" s="4"/>
      <c r="J927" s="4"/>
      <c r="K927" s="4"/>
    </row>
    <row r="928" ht="15.75" customHeight="1">
      <c r="A928" s="4"/>
      <c r="B928" s="4"/>
      <c r="C928" s="4"/>
      <c r="D928" s="4"/>
      <c r="E928" s="4"/>
      <c r="F928" s="4"/>
      <c r="G928" s="4"/>
      <c r="H928" s="4"/>
      <c r="I928" s="4"/>
      <c r="J928" s="4"/>
      <c r="K928" s="4"/>
    </row>
    <row r="929" ht="15.75" customHeight="1">
      <c r="A929" s="4"/>
      <c r="B929" s="4"/>
      <c r="C929" s="4"/>
      <c r="D929" s="4"/>
      <c r="E929" s="4"/>
      <c r="F929" s="4"/>
      <c r="G929" s="4"/>
      <c r="H929" s="4"/>
      <c r="I929" s="4"/>
      <c r="J929" s="4"/>
      <c r="K929" s="4"/>
    </row>
    <row r="930" ht="15.75" customHeight="1">
      <c r="A930" s="4"/>
      <c r="B930" s="4"/>
      <c r="C930" s="4"/>
      <c r="D930" s="4"/>
      <c r="E930" s="4"/>
      <c r="F930" s="4"/>
      <c r="G930" s="4"/>
      <c r="H930" s="4"/>
      <c r="I930" s="4"/>
      <c r="J930" s="4"/>
      <c r="K930" s="4"/>
    </row>
    <row r="931" ht="15.75" customHeight="1">
      <c r="A931" s="4"/>
      <c r="B931" s="4"/>
      <c r="C931" s="4"/>
      <c r="D931" s="4"/>
      <c r="E931" s="4"/>
      <c r="F931" s="4"/>
      <c r="G931" s="4"/>
      <c r="H931" s="4"/>
      <c r="I931" s="4"/>
      <c r="J931" s="4"/>
      <c r="K931" s="4"/>
    </row>
    <row r="932" ht="15.75" customHeight="1">
      <c r="A932" s="4"/>
      <c r="B932" s="4"/>
      <c r="C932" s="4"/>
      <c r="D932" s="4"/>
      <c r="E932" s="4"/>
      <c r="F932" s="4"/>
      <c r="G932" s="4"/>
      <c r="H932" s="4"/>
      <c r="I932" s="4"/>
      <c r="J932" s="4"/>
      <c r="K932" s="4"/>
    </row>
    <row r="933" ht="15.75" customHeight="1">
      <c r="A933" s="4"/>
      <c r="B933" s="4"/>
      <c r="C933" s="4"/>
      <c r="D933" s="4"/>
      <c r="E933" s="4"/>
      <c r="F933" s="4"/>
      <c r="G933" s="4"/>
      <c r="H933" s="4"/>
      <c r="I933" s="4"/>
      <c r="J933" s="4"/>
      <c r="K933" s="4"/>
    </row>
    <row r="934" ht="15.75" customHeight="1">
      <c r="A934" s="4"/>
      <c r="B934" s="4"/>
      <c r="C934" s="4"/>
      <c r="D934" s="4"/>
      <c r="E934" s="4"/>
      <c r="F934" s="4"/>
      <c r="G934" s="4"/>
      <c r="H934" s="4"/>
      <c r="I934" s="4"/>
      <c r="J934" s="4"/>
      <c r="K934" s="4"/>
    </row>
    <row r="935" ht="15.75" customHeight="1">
      <c r="A935" s="4"/>
      <c r="B935" s="4"/>
      <c r="C935" s="4"/>
      <c r="D935" s="4"/>
      <c r="E935" s="4"/>
      <c r="F935" s="4"/>
      <c r="G935" s="4"/>
      <c r="H935" s="4"/>
      <c r="I935" s="4"/>
      <c r="J935" s="4"/>
      <c r="K935" s="4"/>
    </row>
    <row r="936" ht="15.75" customHeight="1">
      <c r="A936" s="4"/>
      <c r="B936" s="4"/>
      <c r="C936" s="4"/>
      <c r="D936" s="4"/>
      <c r="E936" s="4"/>
      <c r="F936" s="4"/>
      <c r="G936" s="4"/>
      <c r="H936" s="4"/>
      <c r="I936" s="4"/>
      <c r="J936" s="4"/>
      <c r="K936" s="4"/>
    </row>
    <row r="937" ht="15.75" customHeight="1">
      <c r="A937" s="4"/>
      <c r="B937" s="4"/>
      <c r="C937" s="4"/>
      <c r="D937" s="4"/>
      <c r="E937" s="4"/>
      <c r="F937" s="4"/>
      <c r="G937" s="4"/>
      <c r="H937" s="4"/>
      <c r="I937" s="4"/>
      <c r="J937" s="4"/>
      <c r="K937" s="4"/>
    </row>
    <row r="938" ht="15.75" customHeight="1">
      <c r="A938" s="4"/>
      <c r="B938" s="4"/>
      <c r="C938" s="4"/>
      <c r="D938" s="4"/>
      <c r="E938" s="4"/>
      <c r="F938" s="4"/>
      <c r="G938" s="4"/>
      <c r="H938" s="4"/>
      <c r="I938" s="4"/>
      <c r="J938" s="4"/>
      <c r="K938" s="4"/>
    </row>
    <row r="939" ht="15.75" customHeight="1">
      <c r="A939" s="4"/>
      <c r="B939" s="4"/>
      <c r="C939" s="4"/>
      <c r="D939" s="4"/>
      <c r="E939" s="4"/>
      <c r="F939" s="4"/>
      <c r="G939" s="4"/>
      <c r="H939" s="4"/>
      <c r="I939" s="4"/>
      <c r="J939" s="4"/>
      <c r="K939" s="4"/>
    </row>
    <row r="940" ht="15.75" customHeight="1">
      <c r="A940" s="4"/>
      <c r="B940" s="4"/>
      <c r="C940" s="4"/>
      <c r="D940" s="4"/>
      <c r="E940" s="4"/>
      <c r="F940" s="4"/>
      <c r="G940" s="4"/>
      <c r="H940" s="4"/>
      <c r="I940" s="4"/>
      <c r="J940" s="4"/>
      <c r="K940" s="4"/>
    </row>
    <row r="941" ht="15.75" customHeight="1">
      <c r="A941" s="4"/>
      <c r="B941" s="4"/>
      <c r="C941" s="4"/>
      <c r="D941" s="4"/>
      <c r="E941" s="4"/>
      <c r="F941" s="4"/>
      <c r="G941" s="4"/>
      <c r="H941" s="4"/>
      <c r="I941" s="4"/>
      <c r="J941" s="4"/>
      <c r="K941" s="4"/>
    </row>
    <row r="942" ht="15.75" customHeight="1">
      <c r="A942" s="4"/>
      <c r="B942" s="4"/>
      <c r="C942" s="4"/>
      <c r="D942" s="4"/>
      <c r="E942" s="4"/>
      <c r="F942" s="4"/>
      <c r="G942" s="4"/>
      <c r="H942" s="4"/>
      <c r="I942" s="4"/>
      <c r="J942" s="4"/>
      <c r="K942" s="4"/>
    </row>
    <row r="943" ht="15.75" customHeight="1">
      <c r="A943" s="4"/>
      <c r="B943" s="4"/>
      <c r="C943" s="4"/>
      <c r="D943" s="4"/>
      <c r="E943" s="4"/>
      <c r="F943" s="4"/>
      <c r="G943" s="4"/>
      <c r="H943" s="4"/>
      <c r="I943" s="4"/>
      <c r="J943" s="4"/>
      <c r="K943" s="4"/>
    </row>
    <row r="944" ht="15.75" customHeight="1">
      <c r="A944" s="4"/>
      <c r="B944" s="4"/>
      <c r="C944" s="4"/>
      <c r="D944" s="4"/>
      <c r="E944" s="4"/>
      <c r="F944" s="4"/>
      <c r="G944" s="4"/>
      <c r="H944" s="4"/>
      <c r="I944" s="4"/>
      <c r="J944" s="4"/>
      <c r="K944" s="4"/>
    </row>
    <row r="945" ht="15.75" customHeight="1">
      <c r="A945" s="4"/>
      <c r="B945" s="4"/>
      <c r="C945" s="4"/>
      <c r="D945" s="4"/>
      <c r="E945" s="4"/>
      <c r="F945" s="4"/>
      <c r="G945" s="4"/>
      <c r="H945" s="4"/>
      <c r="I945" s="4"/>
      <c r="J945" s="4"/>
      <c r="K945" s="4"/>
    </row>
    <row r="946" ht="15.75" customHeight="1">
      <c r="A946" s="4"/>
      <c r="B946" s="4"/>
      <c r="C946" s="4"/>
      <c r="D946" s="4"/>
      <c r="E946" s="4"/>
      <c r="F946" s="4"/>
      <c r="G946" s="4"/>
      <c r="H946" s="4"/>
      <c r="I946" s="4"/>
      <c r="J946" s="4"/>
      <c r="K946" s="4"/>
    </row>
    <row r="947" ht="15.75" customHeight="1">
      <c r="A947" s="4"/>
      <c r="B947" s="4"/>
      <c r="C947" s="4"/>
      <c r="D947" s="4"/>
      <c r="E947" s="4"/>
      <c r="F947" s="4"/>
      <c r="G947" s="4"/>
      <c r="H947" s="4"/>
      <c r="I947" s="4"/>
      <c r="J947" s="4"/>
      <c r="K947" s="4"/>
    </row>
    <row r="948" ht="15.75" customHeight="1">
      <c r="A948" s="4"/>
      <c r="B948" s="4"/>
      <c r="C948" s="4"/>
      <c r="D948" s="4"/>
      <c r="E948" s="4"/>
      <c r="F948" s="4"/>
      <c r="G948" s="4"/>
      <c r="H948" s="4"/>
      <c r="I948" s="4"/>
      <c r="J948" s="4"/>
      <c r="K948" s="4"/>
    </row>
    <row r="949" ht="15.75" customHeight="1">
      <c r="A949" s="4"/>
      <c r="B949" s="4"/>
      <c r="C949" s="4"/>
      <c r="D949" s="4"/>
      <c r="E949" s="4"/>
      <c r="F949" s="4"/>
      <c r="G949" s="4"/>
      <c r="H949" s="4"/>
      <c r="I949" s="4"/>
      <c r="J949" s="4"/>
      <c r="K949" s="4"/>
    </row>
    <row r="950" ht="15.75" customHeight="1">
      <c r="A950" s="4"/>
      <c r="B950" s="4"/>
      <c r="C950" s="4"/>
      <c r="D950" s="4"/>
      <c r="E950" s="4"/>
      <c r="F950" s="4"/>
      <c r="G950" s="4"/>
      <c r="H950" s="4"/>
      <c r="I950" s="4"/>
      <c r="J950" s="4"/>
      <c r="K950" s="4"/>
    </row>
    <row r="951" ht="15.75" customHeight="1">
      <c r="A951" s="4"/>
      <c r="B951" s="4"/>
      <c r="C951" s="4"/>
      <c r="D951" s="4"/>
      <c r="E951" s="4"/>
      <c r="F951" s="4"/>
      <c r="G951" s="4"/>
      <c r="H951" s="4"/>
      <c r="I951" s="4"/>
      <c r="J951" s="4"/>
      <c r="K951" s="4"/>
    </row>
    <row r="952" ht="15.75" customHeight="1">
      <c r="A952" s="4"/>
      <c r="B952" s="4"/>
      <c r="C952" s="4"/>
      <c r="D952" s="4"/>
      <c r="E952" s="4"/>
      <c r="F952" s="4"/>
      <c r="G952" s="4"/>
      <c r="H952" s="4"/>
      <c r="I952" s="4"/>
      <c r="J952" s="4"/>
      <c r="K952" s="4"/>
    </row>
    <row r="953" ht="15.75" customHeight="1">
      <c r="A953" s="4"/>
      <c r="B953" s="4"/>
      <c r="C953" s="4"/>
      <c r="D953" s="4"/>
      <c r="E953" s="4"/>
      <c r="F953" s="4"/>
      <c r="G953" s="4"/>
      <c r="H953" s="4"/>
      <c r="I953" s="4"/>
      <c r="J953" s="4"/>
      <c r="K953" s="4"/>
    </row>
    <row r="954" ht="15.75" customHeight="1">
      <c r="A954" s="4"/>
      <c r="B954" s="4"/>
      <c r="C954" s="4"/>
      <c r="D954" s="4"/>
      <c r="E954" s="4"/>
      <c r="F954" s="4"/>
      <c r="G954" s="4"/>
      <c r="H954" s="4"/>
      <c r="I954" s="4"/>
      <c r="J954" s="4"/>
      <c r="K954" s="4"/>
    </row>
    <row r="955" ht="15.75" customHeight="1">
      <c r="A955" s="4"/>
      <c r="B955" s="4"/>
      <c r="C955" s="4"/>
      <c r="D955" s="4"/>
      <c r="E955" s="4"/>
      <c r="F955" s="4"/>
      <c r="G955" s="4"/>
      <c r="H955" s="4"/>
      <c r="I955" s="4"/>
      <c r="J955" s="4"/>
      <c r="K955" s="4"/>
    </row>
    <row r="956" ht="15.75" customHeight="1">
      <c r="A956" s="4"/>
      <c r="B956" s="4"/>
      <c r="C956" s="4"/>
      <c r="D956" s="4"/>
      <c r="E956" s="4"/>
      <c r="F956" s="4"/>
      <c r="G956" s="4"/>
      <c r="H956" s="4"/>
      <c r="I956" s="4"/>
      <c r="J956" s="4"/>
      <c r="K956" s="4"/>
    </row>
    <row r="957" ht="15.75" customHeight="1">
      <c r="A957" s="4"/>
      <c r="B957" s="4"/>
      <c r="C957" s="4"/>
      <c r="D957" s="4"/>
      <c r="E957" s="4"/>
      <c r="F957" s="4"/>
      <c r="G957" s="4"/>
      <c r="H957" s="4"/>
      <c r="I957" s="4"/>
      <c r="J957" s="4"/>
      <c r="K957" s="4"/>
    </row>
    <row r="958" ht="15.75" customHeight="1">
      <c r="A958" s="4"/>
      <c r="B958" s="4"/>
      <c r="C958" s="4"/>
      <c r="D958" s="4"/>
      <c r="E958" s="4"/>
      <c r="F958" s="4"/>
      <c r="G958" s="4"/>
      <c r="H958" s="4"/>
      <c r="I958" s="4"/>
      <c r="J958" s="4"/>
      <c r="K958" s="4"/>
    </row>
    <row r="959" ht="15.75" customHeight="1">
      <c r="A959" s="4"/>
      <c r="B959" s="4"/>
      <c r="C959" s="4"/>
      <c r="D959" s="4"/>
      <c r="E959" s="4"/>
      <c r="F959" s="4"/>
      <c r="G959" s="4"/>
      <c r="H959" s="4"/>
      <c r="I959" s="4"/>
      <c r="J959" s="4"/>
      <c r="K959" s="4"/>
    </row>
    <row r="960" ht="15.75" customHeight="1">
      <c r="A960" s="4"/>
      <c r="B960" s="4"/>
      <c r="C960" s="4"/>
      <c r="D960" s="4"/>
      <c r="E960" s="4"/>
      <c r="F960" s="4"/>
      <c r="G960" s="4"/>
      <c r="H960" s="4"/>
      <c r="I960" s="4"/>
      <c r="J960" s="4"/>
      <c r="K960" s="4"/>
    </row>
    <row r="961" ht="15.75" customHeight="1">
      <c r="A961" s="4"/>
      <c r="B961" s="4"/>
      <c r="C961" s="4"/>
      <c r="D961" s="4"/>
      <c r="E961" s="4"/>
      <c r="F961" s="4"/>
      <c r="G961" s="4"/>
      <c r="H961" s="4"/>
      <c r="I961" s="4"/>
      <c r="J961" s="4"/>
      <c r="K961" s="4"/>
    </row>
    <row r="962" ht="15.75" customHeight="1">
      <c r="A962" s="4"/>
      <c r="B962" s="4"/>
      <c r="C962" s="4"/>
      <c r="D962" s="4"/>
      <c r="E962" s="4"/>
      <c r="F962" s="4"/>
      <c r="G962" s="4"/>
      <c r="H962" s="4"/>
      <c r="I962" s="4"/>
      <c r="J962" s="4"/>
      <c r="K962" s="4"/>
    </row>
    <row r="963" ht="15.75" customHeight="1">
      <c r="A963" s="4"/>
      <c r="B963" s="4"/>
      <c r="C963" s="4"/>
      <c r="D963" s="4"/>
      <c r="E963" s="4"/>
      <c r="F963" s="4"/>
      <c r="G963" s="4"/>
      <c r="H963" s="4"/>
      <c r="I963" s="4"/>
      <c r="J963" s="4"/>
      <c r="K963" s="4"/>
    </row>
    <row r="964" ht="15.75" customHeight="1">
      <c r="A964" s="4"/>
      <c r="B964" s="4"/>
      <c r="C964" s="4"/>
      <c r="D964" s="4"/>
      <c r="E964" s="4"/>
      <c r="F964" s="4"/>
      <c r="G964" s="4"/>
      <c r="H964" s="4"/>
      <c r="I964" s="4"/>
      <c r="J964" s="4"/>
      <c r="K964" s="4"/>
    </row>
    <row r="965" ht="15.75" customHeight="1">
      <c r="A965" s="4"/>
      <c r="B965" s="4"/>
      <c r="C965" s="4"/>
      <c r="D965" s="4"/>
      <c r="E965" s="4"/>
      <c r="F965" s="4"/>
      <c r="G965" s="4"/>
      <c r="H965" s="4"/>
      <c r="I965" s="4"/>
      <c r="J965" s="4"/>
      <c r="K965" s="4"/>
    </row>
    <row r="966" ht="15.75" customHeight="1">
      <c r="A966" s="4"/>
      <c r="B966" s="4"/>
      <c r="C966" s="4"/>
      <c r="D966" s="4"/>
      <c r="E966" s="4"/>
      <c r="F966" s="4"/>
      <c r="G966" s="4"/>
      <c r="H966" s="4"/>
      <c r="I966" s="4"/>
      <c r="J966" s="4"/>
      <c r="K966" s="4"/>
    </row>
    <row r="967" ht="15.75" customHeight="1">
      <c r="A967" s="4"/>
      <c r="B967" s="4"/>
      <c r="C967" s="4"/>
      <c r="D967" s="4"/>
      <c r="E967" s="4"/>
      <c r="F967" s="4"/>
      <c r="G967" s="4"/>
      <c r="H967" s="4"/>
      <c r="I967" s="4"/>
      <c r="J967" s="4"/>
      <c r="K967" s="4"/>
    </row>
    <row r="968" ht="15.75" customHeight="1">
      <c r="A968" s="4"/>
      <c r="B968" s="4"/>
      <c r="C968" s="4"/>
      <c r="D968" s="4"/>
      <c r="E968" s="4"/>
      <c r="F968" s="4"/>
      <c r="G968" s="4"/>
      <c r="H968" s="4"/>
      <c r="I968" s="4"/>
      <c r="J968" s="4"/>
      <c r="K968" s="4"/>
    </row>
    <row r="969" ht="15.75" customHeight="1">
      <c r="A969" s="4"/>
      <c r="B969" s="4"/>
      <c r="C969" s="4"/>
      <c r="D969" s="4"/>
      <c r="E969" s="4"/>
      <c r="F969" s="4"/>
      <c r="G969" s="4"/>
      <c r="H969" s="4"/>
      <c r="I969" s="4"/>
      <c r="J969" s="4"/>
      <c r="K969" s="4"/>
    </row>
    <row r="970" ht="15.75" customHeight="1">
      <c r="A970" s="4"/>
      <c r="B970" s="4"/>
      <c r="C970" s="4"/>
      <c r="D970" s="4"/>
      <c r="E970" s="4"/>
      <c r="F970" s="4"/>
      <c r="G970" s="4"/>
      <c r="H970" s="4"/>
      <c r="I970" s="4"/>
      <c r="J970" s="4"/>
      <c r="K970" s="4"/>
    </row>
    <row r="971" ht="15.75" customHeight="1">
      <c r="A971" s="4"/>
      <c r="B971" s="4"/>
      <c r="C971" s="4"/>
      <c r="D971" s="4"/>
      <c r="E971" s="4"/>
      <c r="F971" s="4"/>
      <c r="G971" s="4"/>
      <c r="H971" s="4"/>
      <c r="I971" s="4"/>
      <c r="J971" s="4"/>
      <c r="K971" s="4"/>
    </row>
    <row r="972" ht="15.75" customHeight="1">
      <c r="A972" s="4"/>
      <c r="B972" s="4"/>
      <c r="C972" s="4"/>
      <c r="D972" s="4"/>
      <c r="E972" s="4"/>
      <c r="F972" s="4"/>
      <c r="G972" s="4"/>
      <c r="H972" s="4"/>
      <c r="I972" s="4"/>
      <c r="J972" s="4"/>
      <c r="K972" s="4"/>
    </row>
    <row r="973" ht="15.75" customHeight="1">
      <c r="A973" s="4"/>
      <c r="B973" s="4"/>
      <c r="C973" s="4"/>
      <c r="D973" s="4"/>
      <c r="E973" s="4"/>
      <c r="F973" s="4"/>
      <c r="G973" s="4"/>
      <c r="H973" s="4"/>
      <c r="I973" s="4"/>
      <c r="J973" s="4"/>
      <c r="K973" s="4"/>
    </row>
    <row r="974" ht="15.75" customHeight="1">
      <c r="A974" s="4"/>
      <c r="B974" s="4"/>
      <c r="C974" s="4"/>
      <c r="D974" s="4"/>
      <c r="E974" s="4"/>
      <c r="F974" s="4"/>
      <c r="G974" s="4"/>
      <c r="H974" s="4"/>
      <c r="I974" s="4"/>
      <c r="J974" s="4"/>
      <c r="K974" s="4"/>
    </row>
    <row r="975" ht="15.75" customHeight="1">
      <c r="A975" s="4"/>
      <c r="B975" s="4"/>
      <c r="C975" s="4"/>
      <c r="D975" s="4"/>
      <c r="E975" s="4"/>
      <c r="F975" s="4"/>
      <c r="G975" s="4"/>
      <c r="H975" s="4"/>
      <c r="I975" s="4"/>
      <c r="J975" s="4"/>
      <c r="K975" s="4"/>
    </row>
    <row r="976" ht="15.75" customHeight="1">
      <c r="A976" s="4"/>
      <c r="B976" s="4"/>
      <c r="C976" s="4"/>
      <c r="D976" s="4"/>
      <c r="E976" s="4"/>
      <c r="F976" s="4"/>
      <c r="G976" s="4"/>
      <c r="H976" s="4"/>
      <c r="I976" s="4"/>
      <c r="J976" s="4"/>
      <c r="K976" s="4"/>
    </row>
    <row r="977" ht="15.75" customHeight="1">
      <c r="A977" s="4"/>
      <c r="B977" s="4"/>
      <c r="C977" s="4"/>
      <c r="D977" s="4"/>
      <c r="E977" s="4"/>
      <c r="F977" s="4"/>
      <c r="G977" s="4"/>
      <c r="H977" s="4"/>
      <c r="I977" s="4"/>
      <c r="J977" s="4"/>
      <c r="K977" s="4"/>
    </row>
    <row r="978" ht="15.75" customHeight="1">
      <c r="A978" s="4"/>
      <c r="B978" s="4"/>
      <c r="C978" s="4"/>
      <c r="D978" s="4"/>
      <c r="E978" s="4"/>
      <c r="F978" s="4"/>
      <c r="G978" s="4"/>
      <c r="H978" s="4"/>
      <c r="I978" s="4"/>
      <c r="J978" s="4"/>
      <c r="K978" s="4"/>
    </row>
    <row r="979" ht="15.75" customHeight="1">
      <c r="A979" s="4"/>
      <c r="B979" s="4"/>
      <c r="C979" s="4"/>
      <c r="D979" s="4"/>
      <c r="E979" s="4"/>
      <c r="F979" s="4"/>
      <c r="G979" s="4"/>
      <c r="H979" s="4"/>
      <c r="I979" s="4"/>
      <c r="J979" s="4"/>
      <c r="K979" s="4"/>
    </row>
    <row r="980" ht="15.75" customHeight="1">
      <c r="A980" s="4"/>
      <c r="B980" s="4"/>
      <c r="C980" s="4"/>
      <c r="D980" s="4"/>
      <c r="E980" s="4"/>
      <c r="F980" s="4"/>
      <c r="G980" s="4"/>
      <c r="H980" s="4"/>
      <c r="I980" s="4"/>
      <c r="J980" s="4"/>
      <c r="K980" s="4"/>
    </row>
    <row r="981" ht="15.75" customHeight="1">
      <c r="A981" s="4"/>
      <c r="B981" s="4"/>
      <c r="C981" s="4"/>
      <c r="D981" s="4"/>
      <c r="E981" s="4"/>
      <c r="F981" s="4"/>
      <c r="G981" s="4"/>
      <c r="H981" s="4"/>
      <c r="I981" s="4"/>
      <c r="J981" s="4"/>
      <c r="K981" s="4"/>
    </row>
    <row r="982" ht="15.75" customHeight="1">
      <c r="A982" s="4"/>
      <c r="B982" s="4"/>
      <c r="C982" s="4"/>
      <c r="D982" s="4"/>
      <c r="E982" s="4"/>
      <c r="F982" s="4"/>
      <c r="G982" s="4"/>
      <c r="H982" s="4"/>
      <c r="I982" s="4"/>
      <c r="J982" s="4"/>
      <c r="K982" s="4"/>
    </row>
    <row r="983" ht="15.75" customHeight="1">
      <c r="A983" s="4"/>
      <c r="B983" s="4"/>
      <c r="C983" s="4"/>
      <c r="D983" s="4"/>
      <c r="E983" s="4"/>
      <c r="F983" s="4"/>
      <c r="G983" s="4"/>
      <c r="H983" s="4"/>
      <c r="I983" s="4"/>
      <c r="J983" s="4"/>
      <c r="K983" s="4"/>
    </row>
    <row r="984" ht="15.75" customHeight="1">
      <c r="A984" s="4"/>
      <c r="B984" s="4"/>
      <c r="C984" s="4"/>
      <c r="D984" s="4"/>
      <c r="E984" s="4"/>
      <c r="F984" s="4"/>
      <c r="G984" s="4"/>
      <c r="H984" s="4"/>
      <c r="I984" s="4"/>
      <c r="J984" s="4"/>
      <c r="K984" s="4"/>
    </row>
    <row r="985" ht="15.75" customHeight="1">
      <c r="A985" s="4"/>
      <c r="B985" s="4"/>
      <c r="C985" s="4"/>
      <c r="D985" s="4"/>
      <c r="E985" s="4"/>
      <c r="F985" s="4"/>
      <c r="G985" s="4"/>
      <c r="H985" s="4"/>
      <c r="I985" s="4"/>
      <c r="J985" s="4"/>
      <c r="K985" s="4"/>
    </row>
    <row r="986" ht="15.75" customHeight="1">
      <c r="A986" s="4"/>
      <c r="B986" s="4"/>
      <c r="C986" s="4"/>
      <c r="D986" s="4"/>
      <c r="E986" s="4"/>
      <c r="F986" s="4"/>
      <c r="G986" s="4"/>
      <c r="H986" s="4"/>
      <c r="I986" s="4"/>
      <c r="J986" s="4"/>
      <c r="K986" s="4"/>
    </row>
    <row r="987" ht="15.75" customHeight="1">
      <c r="A987" s="4"/>
      <c r="B987" s="4"/>
      <c r="C987" s="4"/>
      <c r="D987" s="4"/>
      <c r="E987" s="4"/>
      <c r="F987" s="4"/>
      <c r="G987" s="4"/>
      <c r="H987" s="4"/>
      <c r="I987" s="4"/>
      <c r="J987" s="4"/>
      <c r="K987" s="4"/>
    </row>
    <row r="988" ht="15.75" customHeight="1">
      <c r="A988" s="4"/>
      <c r="B988" s="4"/>
      <c r="C988" s="4"/>
      <c r="D988" s="4"/>
      <c r="E988" s="4"/>
      <c r="F988" s="4"/>
      <c r="G988" s="4"/>
      <c r="H988" s="4"/>
      <c r="I988" s="4"/>
      <c r="J988" s="4"/>
      <c r="K988" s="4"/>
    </row>
    <row r="989" ht="15.75" customHeight="1">
      <c r="A989" s="4"/>
      <c r="B989" s="4"/>
      <c r="C989" s="4"/>
      <c r="D989" s="4"/>
      <c r="E989" s="4"/>
      <c r="F989" s="4"/>
      <c r="G989" s="4"/>
      <c r="H989" s="4"/>
      <c r="I989" s="4"/>
      <c r="J989" s="4"/>
      <c r="K989" s="4"/>
    </row>
    <row r="990" ht="15.75" customHeight="1">
      <c r="A990" s="4"/>
      <c r="B990" s="4"/>
      <c r="C990" s="4"/>
      <c r="D990" s="4"/>
      <c r="E990" s="4"/>
      <c r="F990" s="4"/>
      <c r="G990" s="4"/>
      <c r="H990" s="4"/>
      <c r="I990" s="4"/>
      <c r="J990" s="4"/>
      <c r="K990" s="4"/>
    </row>
    <row r="991" ht="15.75" customHeight="1">
      <c r="A991" s="4"/>
      <c r="B991" s="4"/>
      <c r="C991" s="4"/>
      <c r="D991" s="4"/>
      <c r="E991" s="4"/>
      <c r="F991" s="4"/>
      <c r="G991" s="4"/>
      <c r="H991" s="4"/>
      <c r="I991" s="4"/>
      <c r="J991" s="4"/>
      <c r="K991" s="4"/>
    </row>
    <row r="992" ht="15.75" customHeight="1">
      <c r="A992" s="4"/>
      <c r="B992" s="4"/>
      <c r="C992" s="4"/>
      <c r="D992" s="4"/>
      <c r="E992" s="4"/>
      <c r="F992" s="4"/>
      <c r="G992" s="4"/>
      <c r="H992" s="4"/>
      <c r="I992" s="4"/>
      <c r="J992" s="4"/>
      <c r="K992" s="4"/>
    </row>
    <row r="993" ht="15.75" customHeight="1">
      <c r="A993" s="4"/>
      <c r="B993" s="4"/>
      <c r="C993" s="4"/>
      <c r="D993" s="4"/>
      <c r="E993" s="4"/>
      <c r="F993" s="4"/>
      <c r="G993" s="4"/>
      <c r="H993" s="4"/>
      <c r="I993" s="4"/>
      <c r="J993" s="4"/>
      <c r="K993" s="4"/>
    </row>
    <row r="994" ht="15.75" customHeight="1">
      <c r="A994" s="4"/>
      <c r="B994" s="4"/>
      <c r="C994" s="4"/>
      <c r="D994" s="4"/>
      <c r="E994" s="4"/>
      <c r="F994" s="4"/>
      <c r="G994" s="4"/>
      <c r="H994" s="4"/>
      <c r="I994" s="4"/>
      <c r="J994" s="4"/>
      <c r="K994" s="4"/>
    </row>
    <row r="995" ht="15.75" customHeight="1">
      <c r="A995" s="4"/>
      <c r="B995" s="4"/>
      <c r="C995" s="4"/>
      <c r="D995" s="4"/>
      <c r="E995" s="4"/>
      <c r="F995" s="4"/>
      <c r="G995" s="4"/>
      <c r="H995" s="4"/>
      <c r="I995" s="4"/>
      <c r="J995" s="4"/>
      <c r="K995" s="4"/>
    </row>
    <row r="996" ht="15.75" customHeight="1">
      <c r="A996" s="4"/>
      <c r="B996" s="4"/>
      <c r="C996" s="4"/>
      <c r="D996" s="4"/>
      <c r="E996" s="4"/>
      <c r="F996" s="4"/>
      <c r="G996" s="4"/>
      <c r="H996" s="4"/>
      <c r="I996" s="4"/>
      <c r="J996" s="4"/>
      <c r="K996" s="4"/>
    </row>
    <row r="997" ht="15.75" customHeight="1">
      <c r="A997" s="4"/>
      <c r="B997" s="4"/>
      <c r="C997" s="4"/>
      <c r="D997" s="4"/>
      <c r="E997" s="4"/>
      <c r="F997" s="4"/>
      <c r="G997" s="4"/>
      <c r="H997" s="4"/>
      <c r="I997" s="4"/>
      <c r="J997" s="4"/>
      <c r="K997" s="4"/>
    </row>
    <row r="998" ht="15.75" customHeight="1">
      <c r="A998" s="4"/>
      <c r="B998" s="4"/>
      <c r="C998" s="4"/>
      <c r="D998" s="4"/>
      <c r="E998" s="4"/>
      <c r="F998" s="4"/>
      <c r="G998" s="4"/>
      <c r="H998" s="4"/>
      <c r="I998" s="4"/>
      <c r="J998" s="4"/>
      <c r="K998" s="4"/>
    </row>
    <row r="999" ht="15.75" customHeight="1">
      <c r="A999" s="4"/>
      <c r="B999" s="4"/>
      <c r="C999" s="4"/>
      <c r="D999" s="4"/>
      <c r="E999" s="4"/>
      <c r="F999" s="4"/>
      <c r="G999" s="4"/>
      <c r="H999" s="4"/>
      <c r="I999" s="4"/>
      <c r="J999" s="4"/>
      <c r="K999" s="4"/>
    </row>
    <row r="1000" ht="15.75" customHeight="1">
      <c r="A1000" s="4"/>
      <c r="B1000" s="4"/>
      <c r="C1000" s="4"/>
      <c r="D1000" s="4"/>
      <c r="E1000" s="4"/>
      <c r="F1000" s="4"/>
      <c r="G1000" s="4"/>
      <c r="H1000" s="4"/>
      <c r="I1000" s="4"/>
      <c r="J1000" s="4"/>
      <c r="K1000" s="4"/>
    </row>
  </sheetData>
  <autoFilter ref="$A$1:$J$67"/>
  <dataValidations>
    <dataValidation type="list" allowBlank="1" sqref="B2:B988">
      <formula1>"FR,NFR"</formula1>
    </dataValidation>
    <dataValidation type="list" allowBlank="1" sqref="F2:F988">
      <formula1>"Must,Should,Could,Won't,보류"</formula1>
    </dataValidation>
    <dataValidation type="list" allowBlank="1" sqref="C2:C988">
      <formula1>"A 계정·동의·기기,B 자유대화,C 연습,D 기록·리포트,E 아동 기기,F 서버·시스템,N 비기능"</formula1>
    </dataValidation>
    <dataValidation type="list" allowBlank="1" sqref="E2:E988">
      <formula1>"01 계정·아동·홈,02 동의·고지·삭제,03 활동 시작·상태·종료,04 음성 대화,05 음성 제어(키워드),06 자유대화 준비,07 연습 목표·추천,08 연습 진행,09 AI 처리,10 승인 콘텐츠,11 결과 화면,12 기록·리포트,13 안전·품질,14 연동 구조"</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2.0"/>
    <col customWidth="1" min="2" max="2" width="28.0"/>
    <col customWidth="1" min="3" max="3" width="15.0"/>
    <col customWidth="1" min="4" max="4" width="45.0"/>
    <col customWidth="1" min="5" max="5" width="36.0"/>
    <col customWidth="1" min="6" max="6" width="64.0"/>
    <col customWidth="1" min="7" max="7" width="14.0"/>
    <col customWidth="1" min="8" max="8" width="55.0"/>
  </cols>
  <sheetData>
    <row r="1" ht="42.0" customHeight="1">
      <c r="A1" s="1" t="s">
        <v>0</v>
      </c>
      <c r="B1" s="2" t="s">
        <v>4</v>
      </c>
      <c r="C1" s="2" t="s">
        <v>8</v>
      </c>
      <c r="D1" s="2" t="s">
        <v>10</v>
      </c>
      <c r="E1" s="2" t="s">
        <v>11</v>
      </c>
      <c r="F1" s="2" t="s">
        <v>12</v>
      </c>
      <c r="G1" s="2" t="s">
        <v>13</v>
      </c>
      <c r="H1" s="2" t="s">
        <v>14</v>
      </c>
    </row>
    <row r="2" ht="42.0" customHeight="1">
      <c r="A2" s="5" t="s">
        <v>15</v>
      </c>
      <c r="B2" s="7" t="s">
        <v>17</v>
      </c>
      <c r="C2" s="5" t="s">
        <v>15</v>
      </c>
      <c r="D2" s="9" t="s">
        <v>25</v>
      </c>
      <c r="E2" s="6" t="s">
        <v>32</v>
      </c>
      <c r="F2" s="6" t="s">
        <v>35</v>
      </c>
      <c r="G2" s="6">
        <f>COUNTIF('요구사항'!$G$2:$G$67,A2)+COUNTIF('요구사항'!$G$2:$G$67,A2&amp;",*")+COUNTIF('요구사항'!$G$2:$G$67,"*, "&amp;A2)+COUNTIF('요구사항'!$G$2:$G$67,"*, "&amp;A2&amp;",*")</f>
        <v>2</v>
      </c>
      <c r="H2" s="9" t="s">
        <v>100</v>
      </c>
    </row>
    <row r="3" ht="42.0" customHeight="1">
      <c r="A3" s="5" t="s">
        <v>89</v>
      </c>
      <c r="B3" s="7" t="s">
        <v>86</v>
      </c>
      <c r="C3" s="5" t="s">
        <v>89</v>
      </c>
      <c r="D3" s="9" t="s">
        <v>82</v>
      </c>
      <c r="E3" s="6" t="s">
        <v>104</v>
      </c>
      <c r="F3" s="6" t="s">
        <v>107</v>
      </c>
      <c r="G3" s="6">
        <f>COUNTIF('요구사항'!$G$2:$G$67,A3)+COUNTIF('요구사항'!$G$2:$G$67,A3&amp;",*")+COUNTIF('요구사항'!$G$2:$G$67,"*, "&amp;A3)+COUNTIF('요구사항'!$G$2:$G$67,"*, "&amp;A3&amp;",*")</f>
        <v>1</v>
      </c>
      <c r="H3" s="9" t="s">
        <v>145</v>
      </c>
    </row>
    <row r="4" ht="42.0" customHeight="1">
      <c r="A4" s="5" t="s">
        <v>133</v>
      </c>
      <c r="B4" s="7" t="s">
        <v>148</v>
      </c>
      <c r="C4" s="5" t="s">
        <v>133</v>
      </c>
      <c r="D4" s="9" t="s">
        <v>150</v>
      </c>
      <c r="E4" s="6" t="s">
        <v>152</v>
      </c>
      <c r="F4" s="6" t="s">
        <v>155</v>
      </c>
      <c r="G4" s="6">
        <f>COUNTIF('요구사항'!$G$2:$G$67,A4)+COUNTIF('요구사항'!$G$2:$G$67,A4&amp;",*")+COUNTIF('요구사항'!$G$2:$G$67,"*, "&amp;A4)+COUNTIF('요구사항'!$G$2:$G$67,"*, "&amp;A4&amp;",*")</f>
        <v>4</v>
      </c>
      <c r="H4" s="9" t="s">
        <v>180</v>
      </c>
    </row>
    <row r="5" ht="51.0" customHeight="1">
      <c r="A5" s="5" t="s">
        <v>166</v>
      </c>
      <c r="B5" s="7" t="s">
        <v>164</v>
      </c>
      <c r="C5" s="5" t="s">
        <v>166</v>
      </c>
      <c r="D5" s="9" t="s">
        <v>184</v>
      </c>
      <c r="E5" s="6" t="s">
        <v>186</v>
      </c>
      <c r="F5" s="6" t="s">
        <v>188</v>
      </c>
      <c r="G5" s="6">
        <f>COUNTIF('요구사항'!$G$2:$G$67,A5)+COUNTIF('요구사항'!$G$2:$G$67,A5&amp;",*")+COUNTIF('요구사항'!$G$2:$G$67,"*, "&amp;A5)+COUNTIF('요구사항'!$G$2:$G$67,"*, "&amp;A5&amp;",*")</f>
        <v>5</v>
      </c>
      <c r="H5" s="9" t="s">
        <v>216</v>
      </c>
    </row>
    <row r="6" ht="66.0" customHeight="1">
      <c r="A6" s="5" t="s">
        <v>219</v>
      </c>
      <c r="B6" s="7" t="s">
        <v>220</v>
      </c>
      <c r="C6" s="5" t="s">
        <v>219</v>
      </c>
      <c r="D6" s="9" t="s">
        <v>141</v>
      </c>
      <c r="E6" s="6" t="s">
        <v>224</v>
      </c>
      <c r="F6" s="6" t="s">
        <v>227</v>
      </c>
      <c r="G6" s="6">
        <f>COUNTIF('요구사항'!$G$2:$G$67,A6)+COUNTIF('요구사항'!$G$2:$G$67,A6&amp;",*")+COUNTIF('요구사항'!$G$2:$G$67,"*, "&amp;A6)+COUNTIF('요구사항'!$G$2:$G$67,"*, "&amp;A6&amp;",*")</f>
        <v>1</v>
      </c>
      <c r="H6" s="9" t="s">
        <v>248</v>
      </c>
    </row>
    <row r="7" ht="51.0" customHeight="1">
      <c r="A7" s="5" t="s">
        <v>252</v>
      </c>
      <c r="B7" s="7" t="s">
        <v>253</v>
      </c>
      <c r="C7" s="5" t="s">
        <v>252</v>
      </c>
      <c r="D7" s="9" t="s">
        <v>141</v>
      </c>
      <c r="E7" s="6" t="s">
        <v>256</v>
      </c>
      <c r="F7" s="6" t="s">
        <v>257</v>
      </c>
      <c r="G7" s="6">
        <f>COUNTIF('요구사항'!$G$2:$G$67,A7)+COUNTIF('요구사항'!$G$2:$G$67,A7&amp;",*")+COUNTIF('요구사항'!$G$2:$G$67,"*, "&amp;A7)+COUNTIF('요구사항'!$G$2:$G$67,"*, "&amp;A7&amp;",*")</f>
        <v>1</v>
      </c>
      <c r="H7" s="9" t="s">
        <v>285</v>
      </c>
    </row>
    <row r="8" ht="30.0" customHeight="1">
      <c r="A8" s="5" t="s">
        <v>228</v>
      </c>
      <c r="B8" s="7" t="s">
        <v>288</v>
      </c>
      <c r="C8" s="5" t="s">
        <v>228</v>
      </c>
      <c r="D8" s="9" t="s">
        <v>291</v>
      </c>
      <c r="E8" s="6" t="s">
        <v>292</v>
      </c>
      <c r="F8" s="6" t="s">
        <v>294</v>
      </c>
      <c r="G8" s="6">
        <f>COUNTIF('요구사항'!$G$2:$G$67,A8)+COUNTIF('요구사항'!$G$2:$G$67,A8&amp;",*")+COUNTIF('요구사항'!$G$2:$G$67,"*, "&amp;A8)+COUNTIF('요구사항'!$G$2:$G$67,"*, "&amp;A8&amp;",*")</f>
        <v>2</v>
      </c>
      <c r="H8" s="9" t="s">
        <v>325</v>
      </c>
    </row>
    <row r="9" ht="42.0" customHeight="1">
      <c r="A9" s="5" t="s">
        <v>238</v>
      </c>
      <c r="B9" s="7" t="s">
        <v>235</v>
      </c>
      <c r="C9" s="5" t="s">
        <v>238</v>
      </c>
      <c r="D9" s="9" t="s">
        <v>329</v>
      </c>
      <c r="E9" s="9" t="s">
        <v>332</v>
      </c>
      <c r="F9" s="6" t="s">
        <v>335</v>
      </c>
      <c r="G9" s="6">
        <f>COUNTIF('요구사항'!$G$2:$G$67,A9)+COUNTIF('요구사항'!$G$2:$G$67,A9&amp;",*")+COUNTIF('요구사항'!$G$2:$G$67,"*, "&amp;A9)+COUNTIF('요구사항'!$G$2:$G$67,"*, "&amp;A9&amp;",*")</f>
        <v>2</v>
      </c>
      <c r="H9" s="9" t="s">
        <v>369</v>
      </c>
    </row>
    <row r="10" ht="30.0" customHeight="1">
      <c r="A10" s="5" t="s">
        <v>371</v>
      </c>
      <c r="B10" s="7" t="s">
        <v>258</v>
      </c>
      <c r="C10" s="5" t="s">
        <v>371</v>
      </c>
      <c r="D10" s="9" t="s">
        <v>373</v>
      </c>
      <c r="E10" s="6" t="s">
        <v>376</v>
      </c>
      <c r="F10" s="6" t="s">
        <v>378</v>
      </c>
      <c r="G10" s="6">
        <f>COUNTIF('요구사항'!$G$2:$G$67,A10)+COUNTIF('요구사항'!$G$2:$G$67,A10&amp;",*")+COUNTIF('요구사항'!$G$2:$G$67,"*, "&amp;A10)+COUNTIF('요구사항'!$G$2:$G$67,"*, "&amp;A10&amp;",*")</f>
        <v>2</v>
      </c>
      <c r="H10" s="9" t="s">
        <v>391</v>
      </c>
    </row>
    <row r="11" ht="42.0" customHeight="1">
      <c r="A11" s="5" t="s">
        <v>272</v>
      </c>
      <c r="B11" s="7" t="s">
        <v>395</v>
      </c>
      <c r="C11" s="5" t="s">
        <v>272</v>
      </c>
      <c r="D11" s="9" t="s">
        <v>399</v>
      </c>
      <c r="E11" s="6" t="s">
        <v>400</v>
      </c>
      <c r="F11" s="6" t="s">
        <v>402</v>
      </c>
      <c r="G11" s="6">
        <f>COUNTIF('요구사항'!$G$2:$G$67,A11)+COUNTIF('요구사항'!$G$2:$G$67,A11&amp;",*")+COUNTIF('요구사항'!$G$2:$G$67,"*, "&amp;A11)+COUNTIF('요구사항'!$G$2:$G$67,"*, "&amp;A11&amp;",*")</f>
        <v>5</v>
      </c>
      <c r="H11" s="9" t="s">
        <v>430</v>
      </c>
    </row>
    <row r="12" ht="42.0" customHeight="1">
      <c r="A12" s="5" t="s">
        <v>432</v>
      </c>
      <c r="B12" s="7" t="s">
        <v>433</v>
      </c>
      <c r="C12" s="5" t="s">
        <v>432</v>
      </c>
      <c r="D12" s="9" t="s">
        <v>436</v>
      </c>
      <c r="E12" s="6" t="s">
        <v>438</v>
      </c>
      <c r="F12" s="6" t="s">
        <v>440</v>
      </c>
      <c r="G12" s="6">
        <f>COUNTIF('요구사항'!$G$2:$G$67,A12)+COUNTIF('요구사항'!$G$2:$G$67,A12&amp;",*")+COUNTIF('요구사항'!$G$2:$G$67,"*, "&amp;A12)+COUNTIF('요구사항'!$G$2:$G$67,"*, "&amp;A12&amp;",*")</f>
        <v>5</v>
      </c>
      <c r="H12" s="9" t="s">
        <v>471</v>
      </c>
    </row>
    <row r="13" ht="57.0" customHeight="1">
      <c r="A13" s="5" t="s">
        <v>474</v>
      </c>
      <c r="B13" s="7" t="s">
        <v>477</v>
      </c>
      <c r="C13" s="5" t="s">
        <v>474</v>
      </c>
      <c r="D13" s="9" t="s">
        <v>479</v>
      </c>
      <c r="E13" s="6" t="s">
        <v>481</v>
      </c>
      <c r="F13" s="6" t="s">
        <v>484</v>
      </c>
      <c r="G13" s="6">
        <f>COUNTIF('요구사항'!$G$2:$G$67,A13)+COUNTIF('요구사항'!$G$2:$G$67,A13&amp;",*")+COUNTIF('요구사항'!$G$2:$G$67,"*, "&amp;A13)+COUNTIF('요구사항'!$G$2:$G$67,"*, "&amp;A13&amp;",*")</f>
        <v>12</v>
      </c>
      <c r="H13" s="9" t="s">
        <v>510</v>
      </c>
    </row>
    <row r="14" ht="57.0" customHeight="1">
      <c r="A14" s="5" t="s">
        <v>513</v>
      </c>
      <c r="B14" s="7" t="s">
        <v>515</v>
      </c>
      <c r="C14" s="5" t="s">
        <v>513</v>
      </c>
      <c r="D14" s="9" t="s">
        <v>137</v>
      </c>
      <c r="E14" s="6" t="s">
        <v>519</v>
      </c>
      <c r="F14" s="6" t="s">
        <v>521</v>
      </c>
      <c r="G14" s="6">
        <f>COUNTIF('요구사항'!$G$2:$G$67,A14)+COUNTIF('요구사항'!$G$2:$G$67,A14&amp;",*")+COUNTIF('요구사항'!$G$2:$G$67,"*, "&amp;A14)+COUNTIF('요구사항'!$G$2:$G$67,"*, "&amp;A14&amp;",*")</f>
        <v>0</v>
      </c>
      <c r="H14" s="9" t="s">
        <v>550</v>
      </c>
    </row>
    <row r="15" ht="57.0" customHeight="1">
      <c r="A15" s="5" t="s">
        <v>553</v>
      </c>
      <c r="B15" s="7" t="s">
        <v>556</v>
      </c>
      <c r="C15" s="5" t="s">
        <v>553</v>
      </c>
      <c r="D15" s="9" t="s">
        <v>559</v>
      </c>
      <c r="E15" s="6" t="s">
        <v>560</v>
      </c>
      <c r="F15" s="6" t="s">
        <v>561</v>
      </c>
      <c r="G15" s="6">
        <f>COUNTIF('요구사항'!$G$2:$G$67,A15)+COUNTIF('요구사항'!$G$2:$G$67,A15&amp;",*")+COUNTIF('요구사항'!$G$2:$G$67,"*, "&amp;A15)+COUNTIF('요구사항'!$G$2:$G$67,"*, "&amp;A15&amp;",*")</f>
        <v>4</v>
      </c>
      <c r="H15" s="9" t="s">
        <v>589</v>
      </c>
    </row>
    <row r="16" ht="30.0" customHeight="1">
      <c r="A16" s="5" t="s">
        <v>346</v>
      </c>
      <c r="B16" s="7" t="s">
        <v>592</v>
      </c>
      <c r="C16" s="5" t="s">
        <v>346</v>
      </c>
      <c r="D16" s="9" t="s">
        <v>595</v>
      </c>
      <c r="E16" s="6" t="s">
        <v>597</v>
      </c>
      <c r="F16" s="6" t="s">
        <v>598</v>
      </c>
      <c r="G16" s="6">
        <f>COUNTIF('요구사항'!$G$2:$G$67,A16)+COUNTIF('요구사항'!$G$2:$G$67,A16&amp;",*")+COUNTIF('요구사항'!$G$2:$G$67,"*, "&amp;A16)+COUNTIF('요구사항'!$G$2:$G$67,"*, "&amp;A16&amp;",*")</f>
        <v>5</v>
      </c>
      <c r="H16" s="9" t="s">
        <v>634</v>
      </c>
    </row>
    <row r="17" ht="51.0" customHeight="1">
      <c r="A17" s="5" t="s">
        <v>635</v>
      </c>
      <c r="B17" s="7" t="s">
        <v>637</v>
      </c>
      <c r="C17" s="5" t="s">
        <v>635</v>
      </c>
      <c r="D17" s="9" t="s">
        <v>640</v>
      </c>
      <c r="E17" s="6" t="s">
        <v>642</v>
      </c>
      <c r="F17" s="6" t="s">
        <v>643</v>
      </c>
      <c r="G17" s="6">
        <f>COUNTIF('요구사항'!$G$2:$G$67,A17)+COUNTIF('요구사항'!$G$2:$G$67,A17&amp;",*")+COUNTIF('요구사항'!$G$2:$G$67,"*, "&amp;A17)+COUNTIF('요구사항'!$G$2:$G$67,"*, "&amp;A17&amp;",*")</f>
        <v>7</v>
      </c>
      <c r="H17" s="9" t="s">
        <v>671</v>
      </c>
    </row>
    <row r="18" ht="30.0" customHeight="1">
      <c r="A18" s="5" t="s">
        <v>674</v>
      </c>
      <c r="B18" s="7" t="s">
        <v>676</v>
      </c>
      <c r="C18" s="5" t="s">
        <v>674</v>
      </c>
      <c r="D18" s="9" t="s">
        <v>677</v>
      </c>
      <c r="E18" s="6" t="s">
        <v>679</v>
      </c>
      <c r="F18" s="6" t="s">
        <v>681</v>
      </c>
      <c r="G18" s="6">
        <f>COUNTIF('요구사항'!$G$2:$G$67,A18)+COUNTIF('요구사항'!$G$2:$G$67,A18&amp;",*")+COUNTIF('요구사항'!$G$2:$G$67,"*, "&amp;A18)+COUNTIF('요구사항'!$G$2:$G$67,"*, "&amp;A18&amp;",*")</f>
        <v>3</v>
      </c>
      <c r="H18" s="9" t="s">
        <v>710</v>
      </c>
    </row>
    <row r="19" ht="42.0" customHeight="1">
      <c r="A19" s="5" t="s">
        <v>362</v>
      </c>
      <c r="B19" s="7" t="s">
        <v>384</v>
      </c>
      <c r="C19" s="5" t="s">
        <v>362</v>
      </c>
      <c r="D19" s="9" t="s">
        <v>712</v>
      </c>
      <c r="E19" s="6" t="s">
        <v>714</v>
      </c>
      <c r="F19" s="6" t="s">
        <v>717</v>
      </c>
      <c r="G19" s="6">
        <f>COUNTIF('요구사항'!$G$2:$G$67,A19)+COUNTIF('요구사항'!$G$2:$G$67,A19&amp;",*")+COUNTIF('요구사항'!$G$2:$G$67,"*, "&amp;A19)+COUNTIF('요구사항'!$G$2:$G$67,"*, "&amp;A19&amp;",*")</f>
        <v>7</v>
      </c>
      <c r="H19" s="9" t="s">
        <v>746</v>
      </c>
    </row>
    <row r="20" ht="30.0" customHeight="1">
      <c r="A20" s="5" t="s">
        <v>747</v>
      </c>
      <c r="B20" s="7" t="s">
        <v>748</v>
      </c>
      <c r="C20" s="7" t="s">
        <v>747</v>
      </c>
      <c r="D20" s="9" t="s">
        <v>750</v>
      </c>
      <c r="E20" s="6" t="s">
        <v>752</v>
      </c>
      <c r="F20" s="6" t="s">
        <v>754</v>
      </c>
      <c r="G20" s="6">
        <f>COUNTIF('요구사항'!$G$2:$G$67,A20)+COUNTIF('요구사항'!$G$2:$G$67,A20&amp;",*")+COUNTIF('요구사항'!$G$2:$G$67,"*, "&amp;A20)+COUNTIF('요구사항'!$G$2:$G$67,"*, "&amp;A20&amp;",*")</f>
        <v>4</v>
      </c>
      <c r="H20" s="9" t="s">
        <v>769</v>
      </c>
    </row>
    <row r="21" ht="42.0" customHeight="1">
      <c r="A21" s="5" t="s">
        <v>408</v>
      </c>
      <c r="B21" s="7" t="s">
        <v>771</v>
      </c>
      <c r="C21" s="7" t="s">
        <v>408</v>
      </c>
      <c r="D21" s="9" t="s">
        <v>773</v>
      </c>
      <c r="E21" s="9" t="s">
        <v>775</v>
      </c>
      <c r="F21" s="9" t="s">
        <v>776</v>
      </c>
      <c r="G21" s="6">
        <f>COUNTIF('요구사항'!$G$2:$G$67,A21)+COUNTIF('요구사항'!$G$2:$G$67,A21&amp;",*")+COUNTIF('요구사항'!$G$2:$G$67,"*, "&amp;A21)+COUNTIF('요구사항'!$G$2:$G$67,"*, "&amp;A21&amp;",*")</f>
        <v>6</v>
      </c>
      <c r="H21" s="9" t="s">
        <v>430</v>
      </c>
    </row>
    <row r="22" ht="72.0" customHeight="1">
      <c r="A22" s="5" t="s">
        <v>422</v>
      </c>
      <c r="B22" s="7" t="s">
        <v>790</v>
      </c>
      <c r="C22" s="7" t="s">
        <v>422</v>
      </c>
      <c r="D22" s="9" t="s">
        <v>792</v>
      </c>
      <c r="E22" s="6" t="s">
        <v>794</v>
      </c>
      <c r="F22" s="6" t="s">
        <v>796</v>
      </c>
      <c r="G22" s="6">
        <f>COUNTIF('요구사항'!$G$2:$G$67,A22)+COUNTIF('요구사항'!$G$2:$G$67,A22&amp;",*")+COUNTIF('요구사항'!$G$2:$G$67,"*, "&amp;A22)+COUNTIF('요구사항'!$G$2:$G$67,"*, "&amp;A22&amp;",*")</f>
        <v>16</v>
      </c>
      <c r="H22" s="9" t="s">
        <v>810</v>
      </c>
    </row>
    <row r="23" ht="42.0" customHeight="1">
      <c r="A23" s="24" t="s">
        <v>813</v>
      </c>
      <c r="B23" s="24" t="s">
        <v>819</v>
      </c>
      <c r="C23" s="24" t="s">
        <v>813</v>
      </c>
      <c r="D23" s="21" t="s">
        <v>822</v>
      </c>
      <c r="E23" s="21" t="s">
        <v>823</v>
      </c>
      <c r="F23" s="21" t="s">
        <v>824</v>
      </c>
      <c r="G23" s="21">
        <f>COUNTIF('요구사항'!$G$2:$G$67,A23)+COUNTIF('요구사항'!$G$2:$G$67,A23&amp;",*")+COUNTIF('요구사항'!$G$2:$G$67,"*, "&amp;A23)+COUNTIF('요구사항'!$G$2:$G$67,"*, "&amp;A23&amp;",*")</f>
        <v>4</v>
      </c>
      <c r="H23" s="21" t="s">
        <v>840</v>
      </c>
    </row>
    <row r="24" ht="30.0" customHeight="1">
      <c r="A24" s="26" t="s">
        <v>841</v>
      </c>
      <c r="B24" s="24" t="s">
        <v>842</v>
      </c>
      <c r="C24" s="24" t="s">
        <v>841</v>
      </c>
      <c r="D24" s="21" t="s">
        <v>843</v>
      </c>
      <c r="E24" s="21" t="s">
        <v>845</v>
      </c>
      <c r="F24" s="21" t="s">
        <v>846</v>
      </c>
      <c r="G24" s="21">
        <f>COUNTIF('요구사항'!$G$2:$G$67,A24)+COUNTIF('요구사항'!$G$2:$G$67,A24&amp;",*")+COUNTIF('요구사항'!$G$2:$G$67,"*, "&amp;A24)+COUNTIF('요구사항'!$G$2:$G$67,"*, "&amp;A24&amp;",*")</f>
        <v>3</v>
      </c>
      <c r="H24" s="21" t="s">
        <v>859</v>
      </c>
    </row>
    <row r="25" ht="42.0" customHeight="1">
      <c r="A25" s="26" t="s">
        <v>861</v>
      </c>
      <c r="B25" s="24" t="s">
        <v>862</v>
      </c>
      <c r="C25" s="24" t="s">
        <v>861</v>
      </c>
      <c r="D25" s="21" t="s">
        <v>863</v>
      </c>
      <c r="E25" s="21" t="s">
        <v>865</v>
      </c>
      <c r="F25" s="21" t="s">
        <v>867</v>
      </c>
      <c r="G25" s="21">
        <f>COUNTIF('요구사항'!$G$2:$G$67,A25)+COUNTIF('요구사항'!$G$2:$G$67,A25&amp;",*")+COUNTIF('요구사항'!$G$2:$G$67,"*, "&amp;A25)+COUNTIF('요구사항'!$G$2:$G$67,"*, "&amp;A25&amp;",*")</f>
        <v>7</v>
      </c>
      <c r="H25" s="21" t="s">
        <v>888</v>
      </c>
    </row>
    <row r="26" ht="42.0" customHeight="1">
      <c r="A26" s="24" t="s">
        <v>889</v>
      </c>
      <c r="B26" s="24" t="s">
        <v>890</v>
      </c>
      <c r="C26" s="24" t="s">
        <v>889</v>
      </c>
      <c r="D26" s="21" t="s">
        <v>894</v>
      </c>
      <c r="E26" s="21" t="s">
        <v>895</v>
      </c>
      <c r="F26" s="21" t="s">
        <v>897</v>
      </c>
      <c r="G26" s="21">
        <f>COUNTIF('요구사항'!$G$2:$G$67,A26)+COUNTIF('요구사항'!$G$2:$G$67,A26&amp;",*")+COUNTIF('요구사항'!$G$2:$G$67,"*, "&amp;A26)+COUNTIF('요구사항'!$G$2:$G$67,"*, "&amp;A26&amp;",*")</f>
        <v>3</v>
      </c>
      <c r="H26" s="21" t="s">
        <v>902</v>
      </c>
    </row>
    <row r="27" ht="42.0" customHeight="1">
      <c r="A27" s="31" t="s">
        <v>487</v>
      </c>
      <c r="B27" s="32" t="s">
        <v>483</v>
      </c>
      <c r="C27" s="32" t="s">
        <v>487</v>
      </c>
      <c r="D27" s="33" t="s">
        <v>903</v>
      </c>
      <c r="E27" s="33" t="s">
        <v>904</v>
      </c>
      <c r="F27" s="33" t="s">
        <v>905</v>
      </c>
      <c r="G27" s="33">
        <f>COUNTIF('요구사항'!$G$2:$G$67,A27)+COUNTIF('요구사항'!$G$2:$G$67,A27&amp;",*")+COUNTIF('요구사항'!$G$2:$G$67,"*, "&amp;A27)+COUNTIF('요구사항'!$G$2:$G$67,"*, "&amp;A27&amp;",*")</f>
        <v>2</v>
      </c>
      <c r="H27" s="33" t="s">
        <v>906</v>
      </c>
    </row>
    <row r="28" ht="72.0" customHeight="1">
      <c r="A28" s="34" t="s">
        <v>767</v>
      </c>
      <c r="B28" s="34" t="s">
        <v>496</v>
      </c>
      <c r="C28" s="34" t="s">
        <v>767</v>
      </c>
      <c r="D28" s="35" t="s">
        <v>907</v>
      </c>
      <c r="E28" s="21" t="s">
        <v>908</v>
      </c>
      <c r="F28" s="21" t="s">
        <v>909</v>
      </c>
      <c r="G28" s="21">
        <f>COUNTIF('요구사항'!$G$2:$G$67,A28)+COUNTIF('요구사항'!$G$2:$G$67,A28&amp;",*")+COUNTIF('요구사항'!$G$2:$G$67,"*, "&amp;A28)+COUNTIF('요구사항'!$G$2:$G$67,"*, "&amp;A28&amp;",*")</f>
        <v>16</v>
      </c>
      <c r="H28" s="21" t="s">
        <v>910</v>
      </c>
    </row>
    <row r="29" ht="42.0" customHeight="1">
      <c r="A29" s="5" t="s">
        <v>911</v>
      </c>
      <c r="B29" s="7" t="s">
        <v>527</v>
      </c>
      <c r="C29" s="7" t="s">
        <v>911</v>
      </c>
      <c r="D29" s="9" t="s">
        <v>912</v>
      </c>
      <c r="E29" s="21" t="s">
        <v>913</v>
      </c>
      <c r="F29" s="21" t="s">
        <v>914</v>
      </c>
      <c r="G29" s="21">
        <f>COUNTIF('요구사항'!$G$2:$G$67,A29)+COUNTIF('요구사항'!$G$2:$G$67,A29&amp;",*")+COUNTIF('요구사항'!$G$2:$G$67,"*, "&amp;A29)+COUNTIF('요구사항'!$G$2:$G$67,"*, "&amp;A29&amp;",*")</f>
        <v>2</v>
      </c>
      <c r="H29" s="21" t="s">
        <v>915</v>
      </c>
    </row>
    <row r="30" ht="42.0" customHeight="1">
      <c r="A30" s="5" t="s">
        <v>916</v>
      </c>
      <c r="B30" s="7" t="s">
        <v>917</v>
      </c>
      <c r="C30" s="7" t="s">
        <v>916</v>
      </c>
      <c r="D30" s="9" t="s">
        <v>918</v>
      </c>
      <c r="E30" s="21" t="s">
        <v>919</v>
      </c>
      <c r="F30" s="21" t="s">
        <v>920</v>
      </c>
      <c r="G30" s="21">
        <f>COUNTIF('요구사항'!$G$2:$G$67,A30)+COUNTIF('요구사항'!$G$2:$G$67,A30&amp;",*")+COUNTIF('요구사항'!$G$2:$G$67,"*, "&amp;A30)+COUNTIF('요구사항'!$G$2:$G$67,"*, "&amp;A30&amp;",*")</f>
        <v>3</v>
      </c>
      <c r="H30" s="21" t="s">
        <v>921</v>
      </c>
    </row>
    <row r="31" ht="30.0" customHeight="1">
      <c r="A31" s="5" t="s">
        <v>922</v>
      </c>
      <c r="B31" s="7" t="s">
        <v>923</v>
      </c>
      <c r="C31" s="7" t="s">
        <v>922</v>
      </c>
      <c r="D31" s="9" t="s">
        <v>536</v>
      </c>
      <c r="E31" s="21" t="s">
        <v>924</v>
      </c>
      <c r="F31" s="21" t="s">
        <v>925</v>
      </c>
      <c r="G31" s="21">
        <f>COUNTIF('요구사항'!$G$2:$G$67,A31)+COUNTIF('요구사항'!$G$2:$G$67,A31&amp;",*")+COUNTIF('요구사항'!$G$2:$G$67,"*, "&amp;A31)+COUNTIF('요구사항'!$G$2:$G$67,"*, "&amp;A31&amp;",*")</f>
        <v>1</v>
      </c>
      <c r="H31" s="21" t="s">
        <v>926</v>
      </c>
    </row>
    <row r="32" ht="57.0" customHeight="1">
      <c r="A32" s="5" t="s">
        <v>927</v>
      </c>
      <c r="B32" s="7" t="s">
        <v>928</v>
      </c>
      <c r="C32" s="7" t="s">
        <v>929</v>
      </c>
      <c r="D32" s="9" t="s">
        <v>183</v>
      </c>
      <c r="E32" s="21" t="s">
        <v>930</v>
      </c>
      <c r="F32" s="21" t="s">
        <v>931</v>
      </c>
      <c r="G32" s="21">
        <f>COUNTIF('요구사항'!$G$2:$G$67,A32)+COUNTIF('요구사항'!$G$2:$G$67,A32&amp;",*")+COUNTIF('요구사항'!$G$2:$G$67,"*, "&amp;A32)+COUNTIF('요구사항'!$G$2:$G$67,"*, "&amp;A32&amp;",*")</f>
        <v>1</v>
      </c>
      <c r="H32" s="21" t="s">
        <v>932</v>
      </c>
    </row>
    <row r="33" ht="15.75" customHeight="1">
      <c r="A33" s="9"/>
      <c r="B33" s="6"/>
      <c r="C33" s="6"/>
      <c r="D33" s="9"/>
      <c r="E33" s="4"/>
      <c r="F33" s="4"/>
      <c r="G33" s="4"/>
      <c r="H33" s="4"/>
    </row>
    <row r="34" ht="15.75" customHeight="1">
      <c r="A34" s="9"/>
      <c r="B34" s="6"/>
      <c r="C34" s="6"/>
      <c r="D34" s="9"/>
      <c r="E34" s="4"/>
      <c r="F34" s="4"/>
      <c r="G34" s="4"/>
      <c r="H34" s="4"/>
    </row>
    <row r="35" ht="42.0" customHeight="1">
      <c r="A35" s="36" t="s">
        <v>933</v>
      </c>
      <c r="B35" s="15"/>
      <c r="C35" s="15"/>
      <c r="D35" s="15"/>
      <c r="E35" s="15"/>
      <c r="F35" s="15"/>
      <c r="G35" s="15"/>
      <c r="H35" s="16"/>
    </row>
    <row r="36" ht="42.0" customHeight="1">
      <c r="A36" s="36" t="s">
        <v>934</v>
      </c>
      <c r="B36" s="15"/>
      <c r="C36" s="15"/>
      <c r="D36" s="15"/>
      <c r="E36" s="15"/>
      <c r="F36" s="15"/>
      <c r="G36" s="15"/>
      <c r="H36" s="16"/>
    </row>
    <row r="37" ht="42.0" customHeight="1">
      <c r="A37" s="36" t="s">
        <v>935</v>
      </c>
      <c r="B37" s="15"/>
      <c r="C37" s="15"/>
      <c r="D37" s="15"/>
      <c r="E37" s="15"/>
      <c r="F37" s="15"/>
      <c r="G37" s="15"/>
      <c r="H37" s="16"/>
    </row>
    <row r="38" ht="42.0" customHeight="1">
      <c r="A38" s="36" t="s">
        <v>936</v>
      </c>
      <c r="B38" s="15"/>
      <c r="C38" s="15"/>
      <c r="D38" s="15"/>
      <c r="E38" s="15"/>
      <c r="F38" s="15"/>
      <c r="G38" s="15"/>
      <c r="H38" s="16"/>
    </row>
    <row r="39" ht="42.0" customHeight="1">
      <c r="A39" s="36" t="s">
        <v>937</v>
      </c>
      <c r="B39" s="15"/>
      <c r="C39" s="15"/>
      <c r="D39" s="15"/>
      <c r="E39" s="15"/>
      <c r="F39" s="15"/>
      <c r="G39" s="15"/>
      <c r="H39" s="16"/>
    </row>
    <row r="40" ht="42.0" customHeight="1">
      <c r="A40" s="36" t="s">
        <v>938</v>
      </c>
      <c r="B40" s="15"/>
      <c r="C40" s="15"/>
      <c r="D40" s="15"/>
      <c r="E40" s="15"/>
      <c r="F40" s="15"/>
      <c r="G40" s="15"/>
      <c r="H40" s="16"/>
    </row>
    <row r="41" ht="15.75" customHeight="1">
      <c r="A41" s="4"/>
      <c r="B41" s="4"/>
      <c r="C41" s="4"/>
      <c r="D41" s="4"/>
      <c r="E41" s="4"/>
      <c r="F41" s="4"/>
      <c r="G41" s="4"/>
      <c r="H41" s="4"/>
    </row>
    <row r="42" ht="15.75" customHeight="1">
      <c r="A42" s="4"/>
      <c r="B42" s="4"/>
      <c r="C42" s="4"/>
      <c r="D42" s="4"/>
      <c r="E42" s="4"/>
      <c r="F42" s="4"/>
      <c r="G42" s="4"/>
      <c r="H42" s="4"/>
    </row>
    <row r="43" ht="15.75" customHeight="1">
      <c r="A43" s="4"/>
      <c r="B43" s="4"/>
      <c r="C43" s="4"/>
      <c r="D43" s="4"/>
      <c r="E43" s="4"/>
      <c r="F43" s="4"/>
      <c r="G43" s="4"/>
      <c r="H43" s="4"/>
    </row>
    <row r="44" ht="15.75" customHeight="1">
      <c r="A44" s="4"/>
      <c r="B44" s="4"/>
      <c r="C44" s="4"/>
      <c r="D44" s="4"/>
      <c r="E44" s="4"/>
      <c r="F44" s="4"/>
      <c r="G44" s="4"/>
      <c r="H44" s="4"/>
    </row>
    <row r="45" ht="15.75" customHeight="1">
      <c r="A45" s="4"/>
      <c r="B45" s="4"/>
      <c r="C45" s="4"/>
      <c r="D45" s="4"/>
      <c r="E45" s="4"/>
      <c r="F45" s="4"/>
      <c r="G45" s="4"/>
      <c r="H45" s="4"/>
    </row>
    <row r="46" ht="15.75" customHeight="1">
      <c r="A46" s="4"/>
      <c r="B46" s="4"/>
      <c r="C46" s="4"/>
      <c r="D46" s="4"/>
      <c r="E46" s="4"/>
      <c r="F46" s="4"/>
      <c r="G46" s="4"/>
      <c r="H46" s="4"/>
    </row>
    <row r="47" ht="15.75" customHeight="1">
      <c r="A47" s="4"/>
      <c r="B47" s="4"/>
      <c r="C47" s="4"/>
      <c r="D47" s="4"/>
      <c r="E47" s="4"/>
      <c r="F47" s="4"/>
      <c r="G47" s="4"/>
      <c r="H47" s="4"/>
    </row>
    <row r="48" ht="15.75" customHeight="1">
      <c r="A48" s="4"/>
      <c r="B48" s="4"/>
      <c r="C48" s="4"/>
      <c r="D48" s="4"/>
      <c r="E48" s="4"/>
      <c r="F48" s="4"/>
      <c r="G48" s="4"/>
      <c r="H48" s="4"/>
    </row>
    <row r="49" ht="15.75" customHeight="1">
      <c r="A49" s="4"/>
      <c r="B49" s="4"/>
      <c r="C49" s="4"/>
      <c r="D49" s="4"/>
      <c r="E49" s="4"/>
      <c r="F49" s="4"/>
      <c r="G49" s="4"/>
      <c r="H49" s="4"/>
    </row>
    <row r="50" ht="15.75" customHeight="1">
      <c r="A50" s="4"/>
      <c r="B50" s="4"/>
      <c r="C50" s="4"/>
      <c r="D50" s="4"/>
      <c r="E50" s="4"/>
      <c r="F50" s="4"/>
      <c r="G50" s="4"/>
      <c r="H50" s="4"/>
    </row>
    <row r="51" ht="15.75" customHeight="1">
      <c r="A51" s="4"/>
      <c r="B51" s="4"/>
      <c r="C51" s="4"/>
      <c r="D51" s="4"/>
      <c r="E51" s="4"/>
      <c r="F51" s="4"/>
      <c r="G51" s="4"/>
      <c r="H51" s="4"/>
    </row>
    <row r="52" ht="15.75" customHeight="1">
      <c r="A52" s="4"/>
      <c r="B52" s="4"/>
      <c r="C52" s="4"/>
      <c r="D52" s="4"/>
      <c r="E52" s="4"/>
      <c r="F52" s="4"/>
      <c r="G52" s="4"/>
      <c r="H52" s="4"/>
    </row>
    <row r="53" ht="15.75" customHeight="1">
      <c r="A53" s="4"/>
      <c r="B53" s="4"/>
      <c r="C53" s="4"/>
      <c r="D53" s="4"/>
      <c r="E53" s="4"/>
      <c r="F53" s="4"/>
      <c r="G53" s="4"/>
      <c r="H53" s="4"/>
    </row>
    <row r="54" ht="15.75" customHeight="1">
      <c r="A54" s="4"/>
      <c r="B54" s="4"/>
      <c r="C54" s="4"/>
      <c r="D54" s="4"/>
      <c r="E54" s="4"/>
      <c r="F54" s="4"/>
      <c r="G54" s="4"/>
      <c r="H54" s="4"/>
    </row>
    <row r="55" ht="15.75" customHeight="1">
      <c r="A55" s="4"/>
      <c r="B55" s="4"/>
      <c r="C55" s="4"/>
      <c r="D55" s="4"/>
      <c r="E55" s="4"/>
      <c r="F55" s="4"/>
      <c r="G55" s="4"/>
      <c r="H55" s="4"/>
    </row>
    <row r="56" ht="15.75" customHeight="1">
      <c r="A56" s="4"/>
      <c r="B56" s="4"/>
      <c r="C56" s="4"/>
      <c r="D56" s="4"/>
      <c r="E56" s="4"/>
      <c r="F56" s="4"/>
      <c r="G56" s="4"/>
      <c r="H56" s="4"/>
    </row>
    <row r="57" ht="15.75" customHeight="1">
      <c r="A57" s="4"/>
      <c r="B57" s="4"/>
      <c r="C57" s="4"/>
      <c r="D57" s="4"/>
      <c r="E57" s="4"/>
      <c r="F57" s="4"/>
      <c r="G57" s="4"/>
      <c r="H57" s="4"/>
    </row>
    <row r="58" ht="15.75" customHeight="1">
      <c r="A58" s="4"/>
      <c r="B58" s="4"/>
      <c r="C58" s="4"/>
      <c r="D58" s="4"/>
      <c r="E58" s="4"/>
      <c r="F58" s="4"/>
      <c r="G58" s="4"/>
      <c r="H58" s="4"/>
    </row>
    <row r="59" ht="15.75" customHeight="1">
      <c r="A59" s="4"/>
      <c r="B59" s="4"/>
      <c r="C59" s="4"/>
      <c r="D59" s="4"/>
      <c r="E59" s="4"/>
      <c r="F59" s="4"/>
      <c r="G59" s="4"/>
      <c r="H59" s="4"/>
    </row>
    <row r="60" ht="15.75" customHeight="1">
      <c r="A60" s="4"/>
      <c r="B60" s="4"/>
      <c r="C60" s="4"/>
      <c r="D60" s="4"/>
      <c r="E60" s="4"/>
      <c r="F60" s="4"/>
      <c r="G60" s="4"/>
      <c r="H60" s="4"/>
    </row>
    <row r="61" ht="15.75" customHeight="1">
      <c r="A61" s="4"/>
      <c r="B61" s="4"/>
      <c r="C61" s="4"/>
      <c r="D61" s="4"/>
      <c r="E61" s="4"/>
      <c r="F61" s="4"/>
      <c r="G61" s="4"/>
      <c r="H61" s="4"/>
    </row>
    <row r="62" ht="15.75" customHeight="1">
      <c r="A62" s="4"/>
      <c r="B62" s="4"/>
      <c r="C62" s="4"/>
      <c r="D62" s="4"/>
      <c r="E62" s="4"/>
      <c r="F62" s="4"/>
      <c r="G62" s="4"/>
      <c r="H62" s="4"/>
    </row>
    <row r="63" ht="15.75" customHeight="1">
      <c r="A63" s="4"/>
      <c r="B63" s="4"/>
      <c r="C63" s="4"/>
      <c r="D63" s="4"/>
      <c r="E63" s="4"/>
      <c r="F63" s="4"/>
      <c r="G63" s="4"/>
      <c r="H63" s="4"/>
    </row>
    <row r="64" ht="15.75" customHeight="1">
      <c r="A64" s="4"/>
      <c r="B64" s="4"/>
      <c r="C64" s="4"/>
      <c r="D64" s="4"/>
      <c r="E64" s="4"/>
      <c r="F64" s="4"/>
      <c r="G64" s="4"/>
      <c r="H64" s="4"/>
    </row>
    <row r="65" ht="15.75" customHeight="1">
      <c r="A65" s="4"/>
      <c r="B65" s="4"/>
      <c r="C65" s="4"/>
      <c r="D65" s="4"/>
      <c r="E65" s="4"/>
      <c r="F65" s="4"/>
      <c r="G65" s="4"/>
      <c r="H65" s="4"/>
    </row>
    <row r="66" ht="15.75" customHeight="1">
      <c r="A66" s="4"/>
      <c r="B66" s="4"/>
      <c r="C66" s="4"/>
      <c r="D66" s="4"/>
      <c r="E66" s="4"/>
      <c r="F66" s="4"/>
      <c r="G66" s="4"/>
      <c r="H66" s="4"/>
    </row>
    <row r="67" ht="15.75" customHeight="1">
      <c r="A67" s="4"/>
      <c r="B67" s="4"/>
      <c r="C67" s="4"/>
      <c r="D67" s="4"/>
      <c r="E67" s="4"/>
      <c r="F67" s="4"/>
      <c r="G67" s="4"/>
      <c r="H67" s="4"/>
    </row>
    <row r="68" ht="15.75" customHeight="1">
      <c r="A68" s="4"/>
      <c r="B68" s="4"/>
      <c r="C68" s="4"/>
      <c r="D68" s="4"/>
      <c r="E68" s="4"/>
      <c r="F68" s="4"/>
      <c r="G68" s="4"/>
      <c r="H68" s="4"/>
    </row>
    <row r="69" ht="15.75" customHeight="1">
      <c r="A69" s="4"/>
      <c r="B69" s="4"/>
      <c r="C69" s="4"/>
      <c r="D69" s="4"/>
      <c r="E69" s="4"/>
      <c r="F69" s="4"/>
      <c r="G69" s="4"/>
      <c r="H69" s="4"/>
    </row>
    <row r="70" ht="15.75" customHeight="1">
      <c r="A70" s="4"/>
      <c r="B70" s="4"/>
      <c r="C70" s="4"/>
      <c r="D70" s="4"/>
      <c r="E70" s="4"/>
      <c r="F70" s="4"/>
      <c r="G70" s="4"/>
      <c r="H70" s="4"/>
    </row>
    <row r="71" ht="15.75" customHeight="1">
      <c r="A71" s="4"/>
      <c r="B71" s="4"/>
      <c r="C71" s="4"/>
      <c r="D71" s="4"/>
      <c r="E71" s="4"/>
      <c r="F71" s="4"/>
      <c r="G71" s="4"/>
      <c r="H71" s="4"/>
    </row>
    <row r="72" ht="15.75" customHeight="1">
      <c r="A72" s="4"/>
      <c r="B72" s="4"/>
      <c r="C72" s="4"/>
      <c r="D72" s="4"/>
      <c r="E72" s="4"/>
      <c r="F72" s="4"/>
      <c r="G72" s="4"/>
      <c r="H72" s="4"/>
    </row>
    <row r="73" ht="15.75" customHeight="1">
      <c r="A73" s="4"/>
      <c r="B73" s="4"/>
      <c r="C73" s="4"/>
      <c r="D73" s="4"/>
      <c r="E73" s="4"/>
      <c r="F73" s="4"/>
      <c r="G73" s="4"/>
      <c r="H73" s="4"/>
    </row>
    <row r="74" ht="15.75" customHeight="1">
      <c r="A74" s="4"/>
      <c r="B74" s="4"/>
      <c r="C74" s="4"/>
      <c r="D74" s="4"/>
      <c r="E74" s="4"/>
      <c r="F74" s="4"/>
      <c r="G74" s="4"/>
      <c r="H74" s="4"/>
    </row>
    <row r="75" ht="15.75" customHeight="1">
      <c r="A75" s="4"/>
      <c r="B75" s="4"/>
      <c r="C75" s="4"/>
      <c r="D75" s="4"/>
      <c r="E75" s="4"/>
      <c r="F75" s="4"/>
      <c r="G75" s="4"/>
      <c r="H75" s="4"/>
    </row>
    <row r="76" ht="15.75" customHeight="1">
      <c r="A76" s="4"/>
      <c r="B76" s="4"/>
      <c r="C76" s="4"/>
      <c r="D76" s="4"/>
      <c r="E76" s="4"/>
      <c r="F76" s="4"/>
      <c r="G76" s="4"/>
      <c r="H76" s="4"/>
    </row>
    <row r="77" ht="15.75" customHeight="1">
      <c r="A77" s="4"/>
      <c r="B77" s="4"/>
      <c r="C77" s="4"/>
      <c r="D77" s="4"/>
      <c r="E77" s="4"/>
      <c r="F77" s="4"/>
      <c r="G77" s="4"/>
      <c r="H77" s="4"/>
    </row>
    <row r="78" ht="15.75" customHeight="1">
      <c r="A78" s="4"/>
      <c r="B78" s="4"/>
      <c r="C78" s="4"/>
      <c r="D78" s="4"/>
      <c r="E78" s="4"/>
      <c r="F78" s="4"/>
      <c r="G78" s="4"/>
      <c r="H78" s="4"/>
    </row>
    <row r="79" ht="15.75" customHeight="1">
      <c r="A79" s="4"/>
      <c r="B79" s="4"/>
      <c r="C79" s="4"/>
      <c r="D79" s="4"/>
      <c r="E79" s="4"/>
      <c r="F79" s="4"/>
      <c r="G79" s="4"/>
      <c r="H79" s="4"/>
    </row>
    <row r="80" ht="15.75" customHeight="1">
      <c r="A80" s="4"/>
      <c r="B80" s="4"/>
      <c r="C80" s="4"/>
      <c r="D80" s="4"/>
      <c r="E80" s="4"/>
      <c r="F80" s="4"/>
      <c r="G80" s="4"/>
      <c r="H80" s="4"/>
    </row>
    <row r="81" ht="15.75" customHeight="1">
      <c r="A81" s="4"/>
      <c r="B81" s="4"/>
      <c r="C81" s="4"/>
      <c r="D81" s="4"/>
      <c r="E81" s="4"/>
      <c r="F81" s="4"/>
      <c r="G81" s="4"/>
      <c r="H81" s="4"/>
    </row>
    <row r="82" ht="15.75" customHeight="1">
      <c r="A82" s="4"/>
      <c r="B82" s="4"/>
      <c r="C82" s="4"/>
      <c r="D82" s="4"/>
      <c r="E82" s="4"/>
      <c r="F82" s="4"/>
      <c r="G82" s="4"/>
      <c r="H82" s="4"/>
    </row>
    <row r="83" ht="15.75" customHeight="1">
      <c r="A83" s="4"/>
      <c r="B83" s="4"/>
      <c r="C83" s="4"/>
      <c r="D83" s="4"/>
      <c r="E83" s="4"/>
      <c r="F83" s="4"/>
      <c r="G83" s="4"/>
      <c r="H83" s="4"/>
    </row>
    <row r="84" ht="15.75" customHeight="1">
      <c r="A84" s="4"/>
      <c r="B84" s="4"/>
      <c r="C84" s="4"/>
      <c r="D84" s="4"/>
      <c r="E84" s="4"/>
      <c r="F84" s="4"/>
      <c r="G84" s="4"/>
      <c r="H84" s="4"/>
    </row>
    <row r="85" ht="15.75" customHeight="1">
      <c r="A85" s="4"/>
      <c r="B85" s="4"/>
      <c r="C85" s="4"/>
      <c r="D85" s="4"/>
      <c r="E85" s="4"/>
      <c r="F85" s="4"/>
      <c r="G85" s="4"/>
      <c r="H85" s="4"/>
    </row>
    <row r="86" ht="15.75" customHeight="1">
      <c r="A86" s="4"/>
      <c r="B86" s="4"/>
      <c r="C86" s="4"/>
      <c r="D86" s="4"/>
      <c r="E86" s="4"/>
      <c r="F86" s="4"/>
      <c r="G86" s="4"/>
      <c r="H86" s="4"/>
    </row>
    <row r="87" ht="15.75" customHeight="1">
      <c r="A87" s="4"/>
      <c r="B87" s="4"/>
      <c r="C87" s="4"/>
      <c r="D87" s="4"/>
      <c r="E87" s="4"/>
      <c r="F87" s="4"/>
      <c r="G87" s="4"/>
      <c r="H87" s="4"/>
    </row>
    <row r="88" ht="15.75" customHeight="1">
      <c r="A88" s="4"/>
      <c r="B88" s="4"/>
      <c r="C88" s="4"/>
      <c r="D88" s="4"/>
      <c r="E88" s="4"/>
      <c r="F88" s="4"/>
      <c r="G88" s="4"/>
      <c r="H88" s="4"/>
    </row>
    <row r="89" ht="15.75" customHeight="1">
      <c r="A89" s="4"/>
      <c r="B89" s="4"/>
      <c r="C89" s="4"/>
      <c r="D89" s="4"/>
      <c r="E89" s="4"/>
      <c r="F89" s="4"/>
      <c r="G89" s="4"/>
      <c r="H89" s="4"/>
    </row>
    <row r="90" ht="15.75" customHeight="1">
      <c r="A90" s="4"/>
      <c r="B90" s="4"/>
      <c r="C90" s="4"/>
      <c r="D90" s="4"/>
      <c r="E90" s="4"/>
      <c r="F90" s="4"/>
      <c r="G90" s="4"/>
      <c r="H90" s="4"/>
    </row>
    <row r="91" ht="15.75" customHeight="1">
      <c r="A91" s="4"/>
      <c r="B91" s="4"/>
      <c r="C91" s="4"/>
      <c r="D91" s="4"/>
      <c r="E91" s="4"/>
      <c r="F91" s="4"/>
      <c r="G91" s="4"/>
      <c r="H91" s="4"/>
    </row>
    <row r="92" ht="15.75" customHeight="1">
      <c r="A92" s="4"/>
      <c r="B92" s="4"/>
      <c r="C92" s="4"/>
      <c r="D92" s="4"/>
      <c r="E92" s="4"/>
      <c r="F92" s="4"/>
      <c r="G92" s="4"/>
      <c r="H92" s="4"/>
    </row>
    <row r="93" ht="15.75" customHeight="1">
      <c r="A93" s="4"/>
      <c r="B93" s="4"/>
      <c r="C93" s="4"/>
      <c r="D93" s="4"/>
      <c r="E93" s="4"/>
      <c r="F93" s="4"/>
      <c r="G93" s="4"/>
      <c r="H93" s="4"/>
    </row>
    <row r="94" ht="15.75" customHeight="1">
      <c r="A94" s="4"/>
      <c r="B94" s="4"/>
      <c r="C94" s="4"/>
      <c r="D94" s="4"/>
      <c r="E94" s="4"/>
      <c r="F94" s="4"/>
      <c r="G94" s="4"/>
      <c r="H94" s="4"/>
    </row>
    <row r="95" ht="15.75" customHeight="1">
      <c r="A95" s="4"/>
      <c r="B95" s="4"/>
      <c r="C95" s="4"/>
      <c r="D95" s="4"/>
      <c r="E95" s="4"/>
      <c r="F95" s="4"/>
      <c r="G95" s="4"/>
      <c r="H95" s="4"/>
    </row>
    <row r="96" ht="15.75" customHeight="1">
      <c r="A96" s="4"/>
      <c r="B96" s="4"/>
      <c r="C96" s="4"/>
      <c r="D96" s="4"/>
      <c r="E96" s="4"/>
      <c r="F96" s="4"/>
      <c r="G96" s="4"/>
      <c r="H96" s="4"/>
    </row>
    <row r="97" ht="15.75" customHeight="1">
      <c r="A97" s="4"/>
      <c r="B97" s="4"/>
      <c r="C97" s="4"/>
      <c r="D97" s="4"/>
      <c r="E97" s="4"/>
      <c r="F97" s="4"/>
      <c r="G97" s="4"/>
      <c r="H97" s="4"/>
    </row>
    <row r="98" ht="15.75" customHeight="1">
      <c r="A98" s="4"/>
      <c r="B98" s="4"/>
      <c r="C98" s="4"/>
      <c r="D98" s="4"/>
      <c r="E98" s="4"/>
      <c r="F98" s="4"/>
      <c r="G98" s="4"/>
      <c r="H98" s="4"/>
    </row>
    <row r="99" ht="15.75" customHeight="1">
      <c r="A99" s="4"/>
      <c r="B99" s="4"/>
      <c r="C99" s="4"/>
      <c r="D99" s="4"/>
      <c r="E99" s="4"/>
      <c r="F99" s="4"/>
      <c r="G99" s="4"/>
      <c r="H99" s="4"/>
    </row>
    <row r="100" ht="15.75" customHeight="1">
      <c r="A100" s="4"/>
      <c r="B100" s="4"/>
      <c r="C100" s="4"/>
      <c r="D100" s="4"/>
      <c r="E100" s="4"/>
      <c r="F100" s="4"/>
      <c r="G100" s="4"/>
      <c r="H100" s="4"/>
    </row>
    <row r="101" ht="15.75" customHeight="1">
      <c r="A101" s="4"/>
      <c r="B101" s="4"/>
      <c r="C101" s="4"/>
      <c r="D101" s="4"/>
      <c r="E101" s="4"/>
      <c r="F101" s="4"/>
      <c r="G101" s="4"/>
      <c r="H101" s="4"/>
    </row>
    <row r="102" ht="15.75" customHeight="1">
      <c r="A102" s="4"/>
      <c r="B102" s="4"/>
      <c r="C102" s="4"/>
      <c r="D102" s="4"/>
      <c r="E102" s="4"/>
      <c r="F102" s="4"/>
      <c r="G102" s="4"/>
      <c r="H102" s="4"/>
    </row>
    <row r="103" ht="15.75" customHeight="1">
      <c r="A103" s="4"/>
      <c r="B103" s="4"/>
      <c r="C103" s="4"/>
      <c r="D103" s="4"/>
      <c r="E103" s="4"/>
      <c r="F103" s="4"/>
      <c r="G103" s="4"/>
      <c r="H103" s="4"/>
    </row>
    <row r="104" ht="15.75" customHeight="1">
      <c r="A104" s="4"/>
      <c r="B104" s="4"/>
      <c r="C104" s="4"/>
      <c r="D104" s="4"/>
      <c r="E104" s="4"/>
      <c r="F104" s="4"/>
      <c r="G104" s="4"/>
      <c r="H104" s="4"/>
    </row>
    <row r="105" ht="15.75" customHeight="1">
      <c r="A105" s="4"/>
      <c r="B105" s="4"/>
      <c r="C105" s="4"/>
      <c r="D105" s="4"/>
      <c r="E105" s="4"/>
      <c r="F105" s="4"/>
      <c r="G105" s="4"/>
      <c r="H105" s="4"/>
    </row>
    <row r="106" ht="15.75" customHeight="1">
      <c r="A106" s="4"/>
      <c r="B106" s="4"/>
      <c r="C106" s="4"/>
      <c r="D106" s="4"/>
      <c r="E106" s="4"/>
      <c r="F106" s="4"/>
      <c r="G106" s="4"/>
      <c r="H106" s="4"/>
    </row>
    <row r="107" ht="15.75" customHeight="1">
      <c r="A107" s="4"/>
      <c r="B107" s="4"/>
      <c r="C107" s="4"/>
      <c r="D107" s="4"/>
      <c r="E107" s="4"/>
      <c r="F107" s="4"/>
      <c r="G107" s="4"/>
      <c r="H107" s="4"/>
    </row>
    <row r="108" ht="15.75" customHeight="1">
      <c r="A108" s="4"/>
      <c r="B108" s="4"/>
      <c r="C108" s="4"/>
      <c r="D108" s="4"/>
      <c r="E108" s="4"/>
      <c r="F108" s="4"/>
      <c r="G108" s="4"/>
      <c r="H108" s="4"/>
    </row>
    <row r="109" ht="15.75" customHeight="1">
      <c r="A109" s="4"/>
      <c r="B109" s="4"/>
      <c r="C109" s="4"/>
      <c r="D109" s="4"/>
      <c r="E109" s="4"/>
      <c r="F109" s="4"/>
      <c r="G109" s="4"/>
      <c r="H109" s="4"/>
    </row>
    <row r="110" ht="15.75" customHeight="1">
      <c r="A110" s="4"/>
      <c r="B110" s="4"/>
      <c r="C110" s="4"/>
      <c r="D110" s="4"/>
      <c r="E110" s="4"/>
      <c r="F110" s="4"/>
      <c r="G110" s="4"/>
      <c r="H110" s="4"/>
    </row>
    <row r="111" ht="15.75" customHeight="1">
      <c r="A111" s="4"/>
      <c r="B111" s="4"/>
      <c r="C111" s="4"/>
      <c r="D111" s="4"/>
      <c r="E111" s="4"/>
      <c r="F111" s="4"/>
      <c r="G111" s="4"/>
      <c r="H111" s="4"/>
    </row>
    <row r="112" ht="15.75" customHeight="1">
      <c r="A112" s="4"/>
      <c r="B112" s="4"/>
      <c r="C112" s="4"/>
      <c r="D112" s="4"/>
      <c r="E112" s="4"/>
      <c r="F112" s="4"/>
      <c r="G112" s="4"/>
      <c r="H112" s="4"/>
    </row>
    <row r="113" ht="15.75" customHeight="1">
      <c r="A113" s="4"/>
      <c r="B113" s="4"/>
      <c r="C113" s="4"/>
      <c r="D113" s="4"/>
      <c r="E113" s="4"/>
      <c r="F113" s="4"/>
      <c r="G113" s="4"/>
      <c r="H113" s="4"/>
    </row>
    <row r="114" ht="15.75" customHeight="1">
      <c r="A114" s="4"/>
      <c r="B114" s="4"/>
      <c r="C114" s="4"/>
      <c r="D114" s="4"/>
      <c r="E114" s="4"/>
      <c r="F114" s="4"/>
      <c r="G114" s="4"/>
      <c r="H114" s="4"/>
    </row>
    <row r="115" ht="15.75" customHeight="1">
      <c r="A115" s="4"/>
      <c r="B115" s="4"/>
      <c r="C115" s="4"/>
      <c r="D115" s="4"/>
      <c r="E115" s="4"/>
      <c r="F115" s="4"/>
      <c r="G115" s="4"/>
      <c r="H115" s="4"/>
    </row>
    <row r="116" ht="15.75" customHeight="1">
      <c r="A116" s="4"/>
      <c r="B116" s="4"/>
      <c r="C116" s="4"/>
      <c r="D116" s="4"/>
      <c r="E116" s="4"/>
      <c r="F116" s="4"/>
      <c r="G116" s="4"/>
      <c r="H116" s="4"/>
    </row>
    <row r="117" ht="15.75" customHeight="1">
      <c r="A117" s="4"/>
      <c r="B117" s="4"/>
      <c r="C117" s="4"/>
      <c r="D117" s="4"/>
      <c r="E117" s="4"/>
      <c r="F117" s="4"/>
      <c r="G117" s="4"/>
      <c r="H117" s="4"/>
    </row>
    <row r="118" ht="15.75" customHeight="1">
      <c r="A118" s="4"/>
      <c r="B118" s="4"/>
      <c r="C118" s="4"/>
      <c r="D118" s="4"/>
      <c r="E118" s="4"/>
      <c r="F118" s="4"/>
      <c r="G118" s="4"/>
      <c r="H118" s="4"/>
    </row>
    <row r="119" ht="15.75" customHeight="1">
      <c r="A119" s="4"/>
      <c r="B119" s="4"/>
      <c r="C119" s="4"/>
      <c r="D119" s="4"/>
      <c r="E119" s="4"/>
      <c r="F119" s="4"/>
      <c r="G119" s="4"/>
      <c r="H119" s="4"/>
    </row>
    <row r="120" ht="15.75" customHeight="1">
      <c r="A120" s="4"/>
      <c r="B120" s="4"/>
      <c r="C120" s="4"/>
      <c r="D120" s="4"/>
      <c r="E120" s="4"/>
      <c r="F120" s="4"/>
      <c r="G120" s="4"/>
      <c r="H120" s="4"/>
    </row>
    <row r="121" ht="15.75" customHeight="1">
      <c r="A121" s="4"/>
      <c r="B121" s="4"/>
      <c r="C121" s="4"/>
      <c r="D121" s="4"/>
      <c r="E121" s="4"/>
      <c r="F121" s="4"/>
      <c r="G121" s="4"/>
      <c r="H121" s="4"/>
    </row>
    <row r="122" ht="15.75" customHeight="1">
      <c r="A122" s="4"/>
      <c r="B122" s="4"/>
      <c r="C122" s="4"/>
      <c r="D122" s="4"/>
      <c r="E122" s="4"/>
      <c r="F122" s="4"/>
      <c r="G122" s="4"/>
      <c r="H122" s="4"/>
    </row>
    <row r="123" ht="15.75" customHeight="1">
      <c r="A123" s="4"/>
      <c r="B123" s="4"/>
      <c r="C123" s="4"/>
      <c r="D123" s="4"/>
      <c r="E123" s="4"/>
      <c r="F123" s="4"/>
      <c r="G123" s="4"/>
      <c r="H123" s="4"/>
    </row>
    <row r="124" ht="15.75" customHeight="1">
      <c r="A124" s="4"/>
      <c r="B124" s="4"/>
      <c r="C124" s="4"/>
      <c r="D124" s="4"/>
      <c r="E124" s="4"/>
      <c r="F124" s="4"/>
      <c r="G124" s="4"/>
      <c r="H124" s="4"/>
    </row>
    <row r="125" ht="15.75" customHeight="1">
      <c r="A125" s="4"/>
      <c r="B125" s="4"/>
      <c r="C125" s="4"/>
      <c r="D125" s="4"/>
      <c r="E125" s="4"/>
      <c r="F125" s="4"/>
      <c r="G125" s="4"/>
      <c r="H125" s="4"/>
    </row>
    <row r="126" ht="15.75" customHeight="1">
      <c r="A126" s="4"/>
      <c r="B126" s="4"/>
      <c r="C126" s="4"/>
      <c r="D126" s="4"/>
      <c r="E126" s="4"/>
      <c r="F126" s="4"/>
      <c r="G126" s="4"/>
      <c r="H126" s="4"/>
    </row>
    <row r="127" ht="15.75" customHeight="1">
      <c r="A127" s="4"/>
      <c r="B127" s="4"/>
      <c r="C127" s="4"/>
      <c r="D127" s="4"/>
      <c r="E127" s="4"/>
      <c r="F127" s="4"/>
      <c r="G127" s="4"/>
      <c r="H127" s="4"/>
    </row>
    <row r="128" ht="15.75" customHeight="1">
      <c r="A128" s="4"/>
      <c r="B128" s="4"/>
      <c r="C128" s="4"/>
      <c r="D128" s="4"/>
      <c r="E128" s="4"/>
      <c r="F128" s="4"/>
      <c r="G128" s="4"/>
      <c r="H128" s="4"/>
    </row>
    <row r="129" ht="15.75" customHeight="1">
      <c r="A129" s="4"/>
      <c r="B129" s="4"/>
      <c r="C129" s="4"/>
      <c r="D129" s="4"/>
      <c r="E129" s="4"/>
      <c r="F129" s="4"/>
      <c r="G129" s="4"/>
      <c r="H129" s="4"/>
    </row>
    <row r="130" ht="15.75" customHeight="1">
      <c r="A130" s="4"/>
      <c r="B130" s="4"/>
      <c r="C130" s="4"/>
      <c r="D130" s="4"/>
      <c r="E130" s="4"/>
      <c r="F130" s="4"/>
      <c r="G130" s="4"/>
      <c r="H130" s="4"/>
    </row>
    <row r="131" ht="15.75" customHeight="1">
      <c r="A131" s="4"/>
      <c r="B131" s="4"/>
      <c r="C131" s="4"/>
      <c r="D131" s="4"/>
      <c r="E131" s="4"/>
      <c r="F131" s="4"/>
      <c r="G131" s="4"/>
      <c r="H131" s="4"/>
    </row>
    <row r="132" ht="15.75" customHeight="1">
      <c r="A132" s="4"/>
      <c r="B132" s="4"/>
      <c r="C132" s="4"/>
      <c r="D132" s="4"/>
      <c r="E132" s="4"/>
      <c r="F132" s="4"/>
      <c r="G132" s="4"/>
      <c r="H132" s="4"/>
    </row>
    <row r="133" ht="15.75" customHeight="1">
      <c r="A133" s="4"/>
      <c r="B133" s="4"/>
      <c r="C133" s="4"/>
      <c r="D133" s="4"/>
      <c r="E133" s="4"/>
      <c r="F133" s="4"/>
      <c r="G133" s="4"/>
      <c r="H133" s="4"/>
    </row>
    <row r="134" ht="15.75" customHeight="1">
      <c r="A134" s="4"/>
      <c r="B134" s="4"/>
      <c r="C134" s="4"/>
      <c r="D134" s="4"/>
      <c r="E134" s="4"/>
      <c r="F134" s="4"/>
      <c r="G134" s="4"/>
      <c r="H134" s="4"/>
    </row>
    <row r="135" ht="15.75" customHeight="1">
      <c r="A135" s="4"/>
      <c r="B135" s="4"/>
      <c r="C135" s="4"/>
      <c r="D135" s="4"/>
      <c r="E135" s="4"/>
      <c r="F135" s="4"/>
      <c r="G135" s="4"/>
      <c r="H135" s="4"/>
    </row>
    <row r="136" ht="15.75" customHeight="1">
      <c r="A136" s="4"/>
      <c r="B136" s="4"/>
      <c r="C136" s="4"/>
      <c r="D136" s="4"/>
      <c r="E136" s="4"/>
      <c r="F136" s="4"/>
      <c r="G136" s="4"/>
      <c r="H136" s="4"/>
    </row>
    <row r="137" ht="15.75" customHeight="1">
      <c r="A137" s="4"/>
      <c r="B137" s="4"/>
      <c r="C137" s="4"/>
      <c r="D137" s="4"/>
      <c r="E137" s="4"/>
      <c r="F137" s="4"/>
      <c r="G137" s="4"/>
      <c r="H137" s="4"/>
    </row>
    <row r="138" ht="15.75" customHeight="1">
      <c r="A138" s="4"/>
      <c r="B138" s="4"/>
      <c r="C138" s="4"/>
      <c r="D138" s="4"/>
      <c r="E138" s="4"/>
      <c r="F138" s="4"/>
      <c r="G138" s="4"/>
      <c r="H138" s="4"/>
    </row>
    <row r="139" ht="15.75" customHeight="1">
      <c r="A139" s="4"/>
      <c r="B139" s="4"/>
      <c r="C139" s="4"/>
      <c r="D139" s="4"/>
      <c r="E139" s="4"/>
      <c r="F139" s="4"/>
      <c r="G139" s="4"/>
      <c r="H139" s="4"/>
    </row>
    <row r="140" ht="15.75" customHeight="1">
      <c r="A140" s="4"/>
      <c r="B140" s="4"/>
      <c r="C140" s="4"/>
      <c r="D140" s="4"/>
      <c r="E140" s="4"/>
      <c r="F140" s="4"/>
      <c r="G140" s="4"/>
      <c r="H140" s="4"/>
    </row>
    <row r="141" ht="15.75" customHeight="1">
      <c r="A141" s="4"/>
      <c r="B141" s="4"/>
      <c r="C141" s="4"/>
      <c r="D141" s="4"/>
      <c r="E141" s="4"/>
      <c r="F141" s="4"/>
      <c r="G141" s="4"/>
      <c r="H141" s="4"/>
    </row>
    <row r="142" ht="15.75" customHeight="1">
      <c r="A142" s="4"/>
      <c r="B142" s="4"/>
      <c r="C142" s="4"/>
      <c r="D142" s="4"/>
      <c r="E142" s="4"/>
      <c r="F142" s="4"/>
      <c r="G142" s="4"/>
      <c r="H142" s="4"/>
    </row>
    <row r="143" ht="15.75" customHeight="1">
      <c r="A143" s="4"/>
      <c r="B143" s="4"/>
      <c r="C143" s="4"/>
      <c r="D143" s="4"/>
      <c r="E143" s="4"/>
      <c r="F143" s="4"/>
      <c r="G143" s="4"/>
      <c r="H143" s="4"/>
    </row>
    <row r="144" ht="15.75" customHeight="1">
      <c r="A144" s="4"/>
      <c r="B144" s="4"/>
      <c r="C144" s="4"/>
      <c r="D144" s="4"/>
      <c r="E144" s="4"/>
      <c r="F144" s="4"/>
      <c r="G144" s="4"/>
      <c r="H144" s="4"/>
    </row>
    <row r="145" ht="15.75" customHeight="1">
      <c r="A145" s="4"/>
      <c r="B145" s="4"/>
      <c r="C145" s="4"/>
      <c r="D145" s="4"/>
      <c r="E145" s="4"/>
      <c r="F145" s="4"/>
      <c r="G145" s="4"/>
      <c r="H145" s="4"/>
    </row>
    <row r="146" ht="15.75" customHeight="1">
      <c r="A146" s="4"/>
      <c r="B146" s="4"/>
      <c r="C146" s="4"/>
      <c r="D146" s="4"/>
      <c r="E146" s="4"/>
      <c r="F146" s="4"/>
      <c r="G146" s="4"/>
      <c r="H146" s="4"/>
    </row>
    <row r="147" ht="15.75" customHeight="1">
      <c r="A147" s="4"/>
      <c r="B147" s="4"/>
      <c r="C147" s="4"/>
      <c r="D147" s="4"/>
      <c r="E147" s="4"/>
      <c r="F147" s="4"/>
      <c r="G147" s="4"/>
      <c r="H147" s="4"/>
    </row>
    <row r="148" ht="15.75" customHeight="1">
      <c r="A148" s="4"/>
      <c r="B148" s="4"/>
      <c r="C148" s="4"/>
      <c r="D148" s="4"/>
      <c r="E148" s="4"/>
      <c r="F148" s="4"/>
      <c r="G148" s="4"/>
      <c r="H148" s="4"/>
    </row>
    <row r="149" ht="15.75" customHeight="1">
      <c r="A149" s="4"/>
      <c r="B149" s="4"/>
      <c r="C149" s="4"/>
      <c r="D149" s="4"/>
      <c r="E149" s="4"/>
      <c r="F149" s="4"/>
      <c r="G149" s="4"/>
      <c r="H149" s="4"/>
    </row>
    <row r="150" ht="15.75" customHeight="1">
      <c r="A150" s="4"/>
      <c r="B150" s="4"/>
      <c r="C150" s="4"/>
      <c r="D150" s="4"/>
      <c r="E150" s="4"/>
      <c r="F150" s="4"/>
      <c r="G150" s="4"/>
      <c r="H150" s="4"/>
    </row>
    <row r="151" ht="15.75" customHeight="1">
      <c r="A151" s="4"/>
      <c r="B151" s="4"/>
      <c r="C151" s="4"/>
      <c r="D151" s="4"/>
      <c r="E151" s="4"/>
      <c r="F151" s="4"/>
      <c r="G151" s="4"/>
      <c r="H151" s="4"/>
    </row>
    <row r="152" ht="15.75" customHeight="1">
      <c r="A152" s="4"/>
      <c r="B152" s="4"/>
      <c r="C152" s="4"/>
      <c r="D152" s="4"/>
      <c r="E152" s="4"/>
      <c r="F152" s="4"/>
      <c r="G152" s="4"/>
      <c r="H152" s="4"/>
    </row>
    <row r="153" ht="15.75" customHeight="1">
      <c r="A153" s="4"/>
      <c r="B153" s="4"/>
      <c r="C153" s="4"/>
      <c r="D153" s="4"/>
      <c r="E153" s="4"/>
      <c r="F153" s="4"/>
      <c r="G153" s="4"/>
      <c r="H153" s="4"/>
    </row>
    <row r="154" ht="15.75" customHeight="1">
      <c r="A154" s="4"/>
      <c r="B154" s="4"/>
      <c r="C154" s="4"/>
      <c r="D154" s="4"/>
      <c r="E154" s="4"/>
      <c r="F154" s="4"/>
      <c r="G154" s="4"/>
      <c r="H154" s="4"/>
    </row>
    <row r="155" ht="15.75" customHeight="1">
      <c r="A155" s="4"/>
      <c r="B155" s="4"/>
      <c r="C155" s="4"/>
      <c r="D155" s="4"/>
      <c r="E155" s="4"/>
      <c r="F155" s="4"/>
      <c r="G155" s="4"/>
      <c r="H155" s="4"/>
    </row>
    <row r="156" ht="15.75" customHeight="1">
      <c r="A156" s="4"/>
      <c r="B156" s="4"/>
      <c r="C156" s="4"/>
      <c r="D156" s="4"/>
      <c r="E156" s="4"/>
      <c r="F156" s="4"/>
      <c r="G156" s="4"/>
      <c r="H156" s="4"/>
    </row>
    <row r="157" ht="15.75" customHeight="1">
      <c r="A157" s="4"/>
      <c r="B157" s="4"/>
      <c r="C157" s="4"/>
      <c r="D157" s="4"/>
      <c r="E157" s="4"/>
      <c r="F157" s="4"/>
      <c r="G157" s="4"/>
      <c r="H157" s="4"/>
    </row>
    <row r="158" ht="15.75" customHeight="1">
      <c r="A158" s="4"/>
      <c r="B158" s="4"/>
      <c r="C158" s="4"/>
      <c r="D158" s="4"/>
      <c r="E158" s="4"/>
      <c r="F158" s="4"/>
      <c r="G158" s="4"/>
      <c r="H158" s="4"/>
    </row>
    <row r="159" ht="15.75" customHeight="1">
      <c r="A159" s="4"/>
      <c r="B159" s="4"/>
      <c r="C159" s="4"/>
      <c r="D159" s="4"/>
      <c r="E159" s="4"/>
      <c r="F159" s="4"/>
      <c r="G159" s="4"/>
      <c r="H159" s="4"/>
    </row>
    <row r="160" ht="15.75" customHeight="1">
      <c r="A160" s="4"/>
      <c r="B160" s="4"/>
      <c r="C160" s="4"/>
      <c r="D160" s="4"/>
      <c r="E160" s="4"/>
      <c r="F160" s="4"/>
      <c r="G160" s="4"/>
      <c r="H160" s="4"/>
    </row>
    <row r="161" ht="15.75" customHeight="1">
      <c r="A161" s="4"/>
      <c r="B161" s="4"/>
      <c r="C161" s="4"/>
      <c r="D161" s="4"/>
      <c r="E161" s="4"/>
      <c r="F161" s="4"/>
      <c r="G161" s="4"/>
      <c r="H161" s="4"/>
    </row>
    <row r="162" ht="15.75" customHeight="1">
      <c r="A162" s="4"/>
      <c r="B162" s="4"/>
      <c r="C162" s="4"/>
      <c r="D162" s="4"/>
      <c r="E162" s="4"/>
      <c r="F162" s="4"/>
      <c r="G162" s="4"/>
      <c r="H162" s="4"/>
    </row>
    <row r="163" ht="15.75" customHeight="1">
      <c r="A163" s="4"/>
      <c r="B163" s="4"/>
      <c r="C163" s="4"/>
      <c r="D163" s="4"/>
      <c r="E163" s="4"/>
      <c r="F163" s="4"/>
      <c r="G163" s="4"/>
      <c r="H163" s="4"/>
    </row>
    <row r="164" ht="15.75" customHeight="1">
      <c r="A164" s="4"/>
      <c r="B164" s="4"/>
      <c r="C164" s="4"/>
      <c r="D164" s="4"/>
      <c r="E164" s="4"/>
      <c r="F164" s="4"/>
      <c r="G164" s="4"/>
      <c r="H164" s="4"/>
    </row>
    <row r="165" ht="15.75" customHeight="1">
      <c r="A165" s="4"/>
      <c r="B165" s="4"/>
      <c r="C165" s="4"/>
      <c r="D165" s="4"/>
      <c r="E165" s="4"/>
      <c r="F165" s="4"/>
      <c r="G165" s="4"/>
      <c r="H165" s="4"/>
    </row>
    <row r="166" ht="15.75" customHeight="1">
      <c r="A166" s="4"/>
      <c r="B166" s="4"/>
      <c r="C166" s="4"/>
      <c r="D166" s="4"/>
      <c r="E166" s="4"/>
      <c r="F166" s="4"/>
      <c r="G166" s="4"/>
      <c r="H166" s="4"/>
    </row>
    <row r="167" ht="15.75" customHeight="1">
      <c r="A167" s="4"/>
      <c r="B167" s="4"/>
      <c r="C167" s="4"/>
      <c r="D167" s="4"/>
      <c r="E167" s="4"/>
      <c r="F167" s="4"/>
      <c r="G167" s="4"/>
      <c r="H167" s="4"/>
    </row>
    <row r="168" ht="15.75" customHeight="1">
      <c r="A168" s="4"/>
      <c r="B168" s="4"/>
      <c r="C168" s="4"/>
      <c r="D168" s="4"/>
      <c r="E168" s="4"/>
      <c r="F168" s="4"/>
      <c r="G168" s="4"/>
      <c r="H168" s="4"/>
    </row>
    <row r="169" ht="15.75" customHeight="1">
      <c r="A169" s="4"/>
      <c r="B169" s="4"/>
      <c r="C169" s="4"/>
      <c r="D169" s="4"/>
      <c r="E169" s="4"/>
      <c r="F169" s="4"/>
      <c r="G169" s="4"/>
      <c r="H169" s="4"/>
    </row>
    <row r="170" ht="15.75" customHeight="1">
      <c r="A170" s="4"/>
      <c r="B170" s="4"/>
      <c r="C170" s="4"/>
      <c r="D170" s="4"/>
      <c r="E170" s="4"/>
      <c r="F170" s="4"/>
      <c r="G170" s="4"/>
      <c r="H170" s="4"/>
    </row>
    <row r="171" ht="15.75" customHeight="1">
      <c r="A171" s="4"/>
      <c r="B171" s="4"/>
      <c r="C171" s="4"/>
      <c r="D171" s="4"/>
      <c r="E171" s="4"/>
      <c r="F171" s="4"/>
      <c r="G171" s="4"/>
      <c r="H171" s="4"/>
    </row>
    <row r="172" ht="15.75" customHeight="1">
      <c r="A172" s="4"/>
      <c r="B172" s="4"/>
      <c r="C172" s="4"/>
      <c r="D172" s="4"/>
      <c r="E172" s="4"/>
      <c r="F172" s="4"/>
      <c r="G172" s="4"/>
      <c r="H172" s="4"/>
    </row>
    <row r="173" ht="15.75" customHeight="1">
      <c r="A173" s="4"/>
      <c r="B173" s="4"/>
      <c r="C173" s="4"/>
      <c r="D173" s="4"/>
      <c r="E173" s="4"/>
      <c r="F173" s="4"/>
      <c r="G173" s="4"/>
      <c r="H173" s="4"/>
    </row>
    <row r="174" ht="15.75" customHeight="1">
      <c r="A174" s="4"/>
      <c r="B174" s="4"/>
      <c r="C174" s="4"/>
      <c r="D174" s="4"/>
      <c r="E174" s="4"/>
      <c r="F174" s="4"/>
      <c r="G174" s="4"/>
      <c r="H174" s="4"/>
    </row>
    <row r="175" ht="15.75" customHeight="1">
      <c r="A175" s="4"/>
      <c r="B175" s="4"/>
      <c r="C175" s="4"/>
      <c r="D175" s="4"/>
      <c r="E175" s="4"/>
      <c r="F175" s="4"/>
      <c r="G175" s="4"/>
      <c r="H175" s="4"/>
    </row>
    <row r="176" ht="15.75" customHeight="1">
      <c r="A176" s="4"/>
      <c r="B176" s="4"/>
      <c r="C176" s="4"/>
      <c r="D176" s="4"/>
      <c r="E176" s="4"/>
      <c r="F176" s="4"/>
      <c r="G176" s="4"/>
      <c r="H176" s="4"/>
    </row>
    <row r="177" ht="15.75" customHeight="1">
      <c r="A177" s="4"/>
      <c r="B177" s="4"/>
      <c r="C177" s="4"/>
      <c r="D177" s="4"/>
      <c r="E177" s="4"/>
      <c r="F177" s="4"/>
      <c r="G177" s="4"/>
      <c r="H177" s="4"/>
    </row>
    <row r="178" ht="15.75" customHeight="1">
      <c r="A178" s="4"/>
      <c r="B178" s="4"/>
      <c r="C178" s="4"/>
      <c r="D178" s="4"/>
      <c r="E178" s="4"/>
      <c r="F178" s="4"/>
      <c r="G178" s="4"/>
      <c r="H178" s="4"/>
    </row>
    <row r="179" ht="15.75" customHeight="1">
      <c r="A179" s="4"/>
      <c r="B179" s="4"/>
      <c r="C179" s="4"/>
      <c r="D179" s="4"/>
      <c r="E179" s="4"/>
      <c r="F179" s="4"/>
      <c r="G179" s="4"/>
      <c r="H179" s="4"/>
    </row>
    <row r="180" ht="15.75" customHeight="1">
      <c r="A180" s="4"/>
      <c r="B180" s="4"/>
      <c r="C180" s="4"/>
      <c r="D180" s="4"/>
      <c r="E180" s="4"/>
      <c r="F180" s="4"/>
      <c r="G180" s="4"/>
      <c r="H180" s="4"/>
    </row>
    <row r="181" ht="15.75" customHeight="1">
      <c r="A181" s="4"/>
      <c r="B181" s="4"/>
      <c r="C181" s="4"/>
      <c r="D181" s="4"/>
      <c r="E181" s="4"/>
      <c r="F181" s="4"/>
      <c r="G181" s="4"/>
      <c r="H181" s="4"/>
    </row>
    <row r="182" ht="15.75" customHeight="1">
      <c r="A182" s="4"/>
      <c r="B182" s="4"/>
      <c r="C182" s="4"/>
      <c r="D182" s="4"/>
      <c r="E182" s="4"/>
      <c r="F182" s="4"/>
      <c r="G182" s="4"/>
      <c r="H182" s="4"/>
    </row>
    <row r="183" ht="15.75" customHeight="1">
      <c r="A183" s="4"/>
      <c r="B183" s="4"/>
      <c r="C183" s="4"/>
      <c r="D183" s="4"/>
      <c r="E183" s="4"/>
      <c r="F183" s="4"/>
      <c r="G183" s="4"/>
      <c r="H183" s="4"/>
    </row>
    <row r="184" ht="15.75" customHeight="1">
      <c r="A184" s="4"/>
      <c r="B184" s="4"/>
      <c r="C184" s="4"/>
      <c r="D184" s="4"/>
      <c r="E184" s="4"/>
      <c r="F184" s="4"/>
      <c r="G184" s="4"/>
      <c r="H184" s="4"/>
    </row>
    <row r="185" ht="15.75" customHeight="1">
      <c r="A185" s="4"/>
      <c r="B185" s="4"/>
      <c r="C185" s="4"/>
      <c r="D185" s="4"/>
      <c r="E185" s="4"/>
      <c r="F185" s="4"/>
      <c r="G185" s="4"/>
      <c r="H185" s="4"/>
    </row>
    <row r="186" ht="15.75" customHeight="1">
      <c r="A186" s="4"/>
      <c r="B186" s="4"/>
      <c r="C186" s="4"/>
      <c r="D186" s="4"/>
      <c r="E186" s="4"/>
      <c r="F186" s="4"/>
      <c r="G186" s="4"/>
      <c r="H186" s="4"/>
    </row>
    <row r="187" ht="15.75" customHeight="1">
      <c r="A187" s="4"/>
      <c r="B187" s="4"/>
      <c r="C187" s="4"/>
      <c r="D187" s="4"/>
      <c r="E187" s="4"/>
      <c r="F187" s="4"/>
      <c r="G187" s="4"/>
      <c r="H187" s="4"/>
    </row>
    <row r="188" ht="15.75" customHeight="1">
      <c r="A188" s="4"/>
      <c r="B188" s="4"/>
      <c r="C188" s="4"/>
      <c r="D188" s="4"/>
      <c r="E188" s="4"/>
      <c r="F188" s="4"/>
      <c r="G188" s="4"/>
      <c r="H188" s="4"/>
    </row>
    <row r="189" ht="15.75" customHeight="1">
      <c r="A189" s="4"/>
      <c r="B189" s="4"/>
      <c r="C189" s="4"/>
      <c r="D189" s="4"/>
      <c r="E189" s="4"/>
      <c r="F189" s="4"/>
      <c r="G189" s="4"/>
      <c r="H189" s="4"/>
    </row>
    <row r="190" ht="15.75" customHeight="1">
      <c r="A190" s="4"/>
      <c r="B190" s="4"/>
      <c r="C190" s="4"/>
      <c r="D190" s="4"/>
      <c r="E190" s="4"/>
      <c r="F190" s="4"/>
      <c r="G190" s="4"/>
      <c r="H190" s="4"/>
    </row>
    <row r="191" ht="15.75" customHeight="1">
      <c r="A191" s="4"/>
      <c r="B191" s="4"/>
      <c r="C191" s="4"/>
      <c r="D191" s="4"/>
      <c r="E191" s="4"/>
      <c r="F191" s="4"/>
      <c r="G191" s="4"/>
      <c r="H191" s="4"/>
    </row>
    <row r="192" ht="15.75" customHeight="1">
      <c r="A192" s="4"/>
      <c r="B192" s="4"/>
      <c r="C192" s="4"/>
      <c r="D192" s="4"/>
      <c r="E192" s="4"/>
      <c r="F192" s="4"/>
      <c r="G192" s="4"/>
      <c r="H192" s="4"/>
    </row>
    <row r="193" ht="15.75" customHeight="1">
      <c r="A193" s="4"/>
      <c r="B193" s="4"/>
      <c r="C193" s="4"/>
      <c r="D193" s="4"/>
      <c r="E193" s="4"/>
      <c r="F193" s="4"/>
      <c r="G193" s="4"/>
      <c r="H193" s="4"/>
    </row>
    <row r="194" ht="15.75" customHeight="1">
      <c r="A194" s="4"/>
      <c r="B194" s="4"/>
      <c r="C194" s="4"/>
      <c r="D194" s="4"/>
      <c r="E194" s="4"/>
      <c r="F194" s="4"/>
      <c r="G194" s="4"/>
      <c r="H194" s="4"/>
    </row>
    <row r="195" ht="15.75" customHeight="1">
      <c r="A195" s="4"/>
      <c r="B195" s="4"/>
      <c r="C195" s="4"/>
      <c r="D195" s="4"/>
      <c r="E195" s="4"/>
      <c r="F195" s="4"/>
      <c r="G195" s="4"/>
      <c r="H195" s="4"/>
    </row>
    <row r="196" ht="15.75" customHeight="1">
      <c r="A196" s="4"/>
      <c r="B196" s="4"/>
      <c r="C196" s="4"/>
      <c r="D196" s="4"/>
      <c r="E196" s="4"/>
      <c r="F196" s="4"/>
      <c r="G196" s="4"/>
      <c r="H196" s="4"/>
    </row>
    <row r="197" ht="15.75" customHeight="1">
      <c r="A197" s="4"/>
      <c r="B197" s="4"/>
      <c r="C197" s="4"/>
      <c r="D197" s="4"/>
      <c r="E197" s="4"/>
      <c r="F197" s="4"/>
      <c r="G197" s="4"/>
      <c r="H197" s="4"/>
    </row>
    <row r="198" ht="15.75" customHeight="1">
      <c r="A198" s="4"/>
      <c r="B198" s="4"/>
      <c r="C198" s="4"/>
      <c r="D198" s="4"/>
      <c r="E198" s="4"/>
      <c r="F198" s="4"/>
      <c r="G198" s="4"/>
      <c r="H198" s="4"/>
    </row>
    <row r="199" ht="15.75" customHeight="1">
      <c r="A199" s="4"/>
      <c r="B199" s="4"/>
      <c r="C199" s="4"/>
      <c r="D199" s="4"/>
      <c r="E199" s="4"/>
      <c r="F199" s="4"/>
      <c r="G199" s="4"/>
      <c r="H199" s="4"/>
    </row>
    <row r="200" ht="15.75" customHeight="1">
      <c r="A200" s="4"/>
      <c r="B200" s="4"/>
      <c r="C200" s="4"/>
      <c r="D200" s="4"/>
      <c r="E200" s="4"/>
      <c r="F200" s="4"/>
      <c r="G200" s="4"/>
      <c r="H200" s="4"/>
    </row>
    <row r="201" ht="15.75" customHeight="1">
      <c r="A201" s="4"/>
      <c r="B201" s="4"/>
      <c r="C201" s="4"/>
      <c r="D201" s="4"/>
      <c r="E201" s="4"/>
      <c r="F201" s="4"/>
      <c r="G201" s="4"/>
      <c r="H201" s="4"/>
    </row>
    <row r="202" ht="15.75" customHeight="1">
      <c r="A202" s="4"/>
      <c r="B202" s="4"/>
      <c r="C202" s="4"/>
      <c r="D202" s="4"/>
      <c r="E202" s="4"/>
      <c r="F202" s="4"/>
      <c r="G202" s="4"/>
      <c r="H202" s="4"/>
    </row>
    <row r="203" ht="15.75" customHeight="1">
      <c r="A203" s="4"/>
      <c r="B203" s="4"/>
      <c r="C203" s="4"/>
      <c r="D203" s="4"/>
      <c r="E203" s="4"/>
      <c r="F203" s="4"/>
      <c r="G203" s="4"/>
      <c r="H203" s="4"/>
    </row>
    <row r="204" ht="15.75" customHeight="1">
      <c r="A204" s="4"/>
      <c r="B204" s="4"/>
      <c r="C204" s="4"/>
      <c r="D204" s="4"/>
      <c r="E204" s="4"/>
      <c r="F204" s="4"/>
      <c r="G204" s="4"/>
      <c r="H204" s="4"/>
    </row>
    <row r="205" ht="15.75" customHeight="1">
      <c r="A205" s="4"/>
      <c r="B205" s="4"/>
      <c r="C205" s="4"/>
      <c r="D205" s="4"/>
      <c r="E205" s="4"/>
      <c r="F205" s="4"/>
      <c r="G205" s="4"/>
      <c r="H205" s="4"/>
    </row>
    <row r="206" ht="15.75" customHeight="1">
      <c r="A206" s="4"/>
      <c r="B206" s="4"/>
      <c r="C206" s="4"/>
      <c r="D206" s="4"/>
      <c r="E206" s="4"/>
      <c r="F206" s="4"/>
      <c r="G206" s="4"/>
      <c r="H206" s="4"/>
    </row>
    <row r="207" ht="15.75" customHeight="1">
      <c r="A207" s="4"/>
      <c r="B207" s="4"/>
      <c r="C207" s="4"/>
      <c r="D207" s="4"/>
      <c r="E207" s="4"/>
      <c r="F207" s="4"/>
      <c r="G207" s="4"/>
      <c r="H207" s="4"/>
    </row>
    <row r="208" ht="15.75" customHeight="1">
      <c r="A208" s="4"/>
      <c r="B208" s="4"/>
      <c r="C208" s="4"/>
      <c r="D208" s="4"/>
      <c r="E208" s="4"/>
      <c r="F208" s="4"/>
      <c r="G208" s="4"/>
      <c r="H208" s="4"/>
    </row>
    <row r="209" ht="15.75" customHeight="1">
      <c r="A209" s="4"/>
      <c r="B209" s="4"/>
      <c r="C209" s="4"/>
      <c r="D209" s="4"/>
      <c r="E209" s="4"/>
      <c r="F209" s="4"/>
      <c r="G209" s="4"/>
      <c r="H209" s="4"/>
    </row>
    <row r="210" ht="15.75" customHeight="1">
      <c r="A210" s="4"/>
      <c r="B210" s="4"/>
      <c r="C210" s="4"/>
      <c r="D210" s="4"/>
      <c r="E210" s="4"/>
      <c r="F210" s="4"/>
      <c r="G210" s="4"/>
      <c r="H210" s="4"/>
    </row>
    <row r="211" ht="15.75" customHeight="1">
      <c r="A211" s="4"/>
      <c r="B211" s="4"/>
      <c r="C211" s="4"/>
      <c r="D211" s="4"/>
      <c r="E211" s="4"/>
      <c r="F211" s="4"/>
      <c r="G211" s="4"/>
      <c r="H211" s="4"/>
    </row>
    <row r="212" ht="15.75" customHeight="1">
      <c r="A212" s="4"/>
      <c r="B212" s="4"/>
      <c r="C212" s="4"/>
      <c r="D212" s="4"/>
      <c r="E212" s="4"/>
      <c r="F212" s="4"/>
      <c r="G212" s="4"/>
      <c r="H212" s="4"/>
    </row>
    <row r="213" ht="15.75" customHeight="1">
      <c r="A213" s="4"/>
      <c r="B213" s="4"/>
      <c r="C213" s="4"/>
      <c r="D213" s="4"/>
      <c r="E213" s="4"/>
      <c r="F213" s="4"/>
      <c r="G213" s="4"/>
      <c r="H213" s="4"/>
    </row>
    <row r="214" ht="15.75" customHeight="1">
      <c r="A214" s="4"/>
      <c r="B214" s="4"/>
      <c r="C214" s="4"/>
      <c r="D214" s="4"/>
      <c r="E214" s="4"/>
      <c r="F214" s="4"/>
      <c r="G214" s="4"/>
      <c r="H214" s="4"/>
    </row>
    <row r="215" ht="15.75" customHeight="1">
      <c r="A215" s="4"/>
      <c r="B215" s="4"/>
      <c r="C215" s="4"/>
      <c r="D215" s="4"/>
      <c r="E215" s="4"/>
      <c r="F215" s="4"/>
      <c r="G215" s="4"/>
      <c r="H215" s="4"/>
    </row>
    <row r="216" ht="15.75" customHeight="1">
      <c r="A216" s="4"/>
      <c r="B216" s="4"/>
      <c r="C216" s="4"/>
      <c r="D216" s="4"/>
      <c r="E216" s="4"/>
      <c r="F216" s="4"/>
      <c r="G216" s="4"/>
      <c r="H216" s="4"/>
    </row>
    <row r="217" ht="15.75" customHeight="1">
      <c r="A217" s="4"/>
      <c r="B217" s="4"/>
      <c r="C217" s="4"/>
      <c r="D217" s="4"/>
      <c r="E217" s="4"/>
      <c r="F217" s="4"/>
      <c r="G217" s="4"/>
      <c r="H217" s="4"/>
    </row>
    <row r="218" ht="15.75" customHeight="1">
      <c r="A218" s="4"/>
      <c r="B218" s="4"/>
      <c r="C218" s="4"/>
      <c r="D218" s="4"/>
      <c r="E218" s="4"/>
      <c r="F218" s="4"/>
      <c r="G218" s="4"/>
      <c r="H218" s="4"/>
    </row>
    <row r="219" ht="15.75" customHeight="1">
      <c r="A219" s="4"/>
      <c r="B219" s="4"/>
      <c r="C219" s="4"/>
      <c r="D219" s="4"/>
      <c r="E219" s="4"/>
      <c r="F219" s="4"/>
      <c r="G219" s="4"/>
      <c r="H219" s="4"/>
    </row>
    <row r="220" ht="15.75" customHeight="1">
      <c r="A220" s="4"/>
      <c r="B220" s="4"/>
      <c r="C220" s="4"/>
      <c r="D220" s="4"/>
      <c r="E220" s="4"/>
      <c r="F220" s="4"/>
      <c r="G220" s="4"/>
      <c r="H220" s="4"/>
    </row>
    <row r="221" ht="15.75" customHeight="1">
      <c r="A221" s="4"/>
      <c r="B221" s="4"/>
      <c r="C221" s="4"/>
      <c r="D221" s="4"/>
      <c r="E221" s="4"/>
      <c r="F221" s="4"/>
      <c r="G221" s="4"/>
      <c r="H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mergeCells count="6">
    <mergeCell ref="A35:H35"/>
    <mergeCell ref="A36:H36"/>
    <mergeCell ref="A37:H37"/>
    <mergeCell ref="A38:H38"/>
    <mergeCell ref="A39:H39"/>
    <mergeCell ref="A40:H4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35.0"/>
    <col customWidth="1" min="3" max="3" width="75.0"/>
    <col customWidth="1" min="4" max="4" width="65.0"/>
    <col customWidth="1" min="5" max="5" width="21.0"/>
    <col customWidth="1" min="6" max="6" width="8.71"/>
  </cols>
  <sheetData>
    <row r="1" ht="33.75" customHeight="1">
      <c r="A1" s="2" t="s">
        <v>3</v>
      </c>
      <c r="B1" s="2" t="s">
        <v>5</v>
      </c>
      <c r="C1" s="2" t="s">
        <v>6</v>
      </c>
      <c r="D1" s="2" t="s">
        <v>7</v>
      </c>
      <c r="E1" s="2" t="s">
        <v>9</v>
      </c>
      <c r="F1" s="4"/>
    </row>
    <row r="2" ht="72.0" customHeight="1">
      <c r="A2" s="6" t="s">
        <v>16</v>
      </c>
      <c r="B2" s="6" t="s">
        <v>18</v>
      </c>
      <c r="C2" s="6" t="s">
        <v>20</v>
      </c>
      <c r="D2" s="9" t="s">
        <v>21</v>
      </c>
      <c r="E2" s="9" t="s">
        <v>31</v>
      </c>
      <c r="F2" s="4"/>
    </row>
    <row r="3" ht="57.0" customHeight="1">
      <c r="A3" s="6" t="s">
        <v>16</v>
      </c>
      <c r="B3" s="6" t="s">
        <v>33</v>
      </c>
      <c r="C3" s="6" t="s">
        <v>34</v>
      </c>
      <c r="D3" s="9" t="s">
        <v>36</v>
      </c>
      <c r="E3" s="9" t="s">
        <v>38</v>
      </c>
      <c r="F3" s="4"/>
    </row>
    <row r="4" ht="72.0" customHeight="1">
      <c r="A4" s="6" t="s">
        <v>16</v>
      </c>
      <c r="B4" s="6" t="s">
        <v>39</v>
      </c>
      <c r="C4" s="6" t="s">
        <v>40</v>
      </c>
      <c r="D4" s="9" t="s">
        <v>41</v>
      </c>
      <c r="E4" s="9" t="s">
        <v>42</v>
      </c>
      <c r="F4" s="4"/>
    </row>
    <row r="5" ht="57.0" customHeight="1">
      <c r="A5" s="6" t="s">
        <v>16</v>
      </c>
      <c r="B5" s="6" t="s">
        <v>43</v>
      </c>
      <c r="C5" s="6" t="s">
        <v>44</v>
      </c>
      <c r="D5" s="9" t="s">
        <v>45</v>
      </c>
      <c r="E5" s="9" t="s">
        <v>42</v>
      </c>
      <c r="F5" s="4"/>
    </row>
    <row r="6" ht="81.0" customHeight="1">
      <c r="A6" s="6" t="s">
        <v>16</v>
      </c>
      <c r="B6" s="6" t="s">
        <v>46</v>
      </c>
      <c r="C6" s="6" t="s">
        <v>47</v>
      </c>
      <c r="D6" s="9" t="s">
        <v>49</v>
      </c>
      <c r="E6" s="9" t="s">
        <v>31</v>
      </c>
      <c r="F6" s="4"/>
    </row>
    <row r="7" ht="87.0" customHeight="1">
      <c r="A7" s="6" t="s">
        <v>16</v>
      </c>
      <c r="B7" s="6" t="s">
        <v>50</v>
      </c>
      <c r="C7" s="6" t="s">
        <v>51</v>
      </c>
      <c r="D7" s="6" t="s">
        <v>52</v>
      </c>
      <c r="E7" s="9" t="s">
        <v>42</v>
      </c>
      <c r="F7" s="4"/>
    </row>
    <row r="8" ht="57.0" customHeight="1">
      <c r="A8" s="6" t="s">
        <v>16</v>
      </c>
      <c r="B8" s="6" t="s">
        <v>53</v>
      </c>
      <c r="C8" s="6" t="s">
        <v>54</v>
      </c>
      <c r="D8" s="9" t="s">
        <v>56</v>
      </c>
      <c r="E8" s="9" t="s">
        <v>57</v>
      </c>
      <c r="F8" s="4"/>
    </row>
    <row r="9" ht="57.0" customHeight="1">
      <c r="A9" s="6" t="s">
        <v>16</v>
      </c>
      <c r="B9" s="6" t="s">
        <v>58</v>
      </c>
      <c r="C9" s="6" t="s">
        <v>59</v>
      </c>
      <c r="D9" s="9" t="s">
        <v>60</v>
      </c>
      <c r="E9" s="9" t="s">
        <v>57</v>
      </c>
      <c r="F9" s="4"/>
    </row>
    <row r="10" ht="81.0" customHeight="1">
      <c r="A10" s="6" t="s">
        <v>61</v>
      </c>
      <c r="B10" s="6" t="s">
        <v>62</v>
      </c>
      <c r="C10" s="6" t="s">
        <v>63</v>
      </c>
      <c r="D10" s="6" t="s">
        <v>64</v>
      </c>
      <c r="E10" s="9" t="s">
        <v>31</v>
      </c>
      <c r="F10" s="4"/>
    </row>
    <row r="11" ht="42.0" customHeight="1">
      <c r="A11" s="6" t="s">
        <v>16</v>
      </c>
      <c r="B11" s="6" t="s">
        <v>66</v>
      </c>
      <c r="C11" s="6" t="s">
        <v>67</v>
      </c>
      <c r="D11" s="6" t="s">
        <v>68</v>
      </c>
      <c r="E11" s="9" t="s">
        <v>57</v>
      </c>
      <c r="F11" s="4"/>
    </row>
    <row r="12" ht="111.0" customHeight="1">
      <c r="A12" s="6" t="s">
        <v>69</v>
      </c>
      <c r="B12" s="6" t="s">
        <v>70</v>
      </c>
      <c r="C12" s="6" t="s">
        <v>72</v>
      </c>
      <c r="D12" s="6" t="s">
        <v>73</v>
      </c>
      <c r="E12" s="9" t="s">
        <v>75</v>
      </c>
      <c r="F12" s="4"/>
    </row>
    <row r="13" ht="57.0" customHeight="1">
      <c r="A13" s="6" t="s">
        <v>77</v>
      </c>
      <c r="B13" s="6" t="s">
        <v>79</v>
      </c>
      <c r="C13" s="6" t="s">
        <v>80</v>
      </c>
      <c r="D13" s="6" t="s">
        <v>81</v>
      </c>
      <c r="E13" s="9" t="s">
        <v>42</v>
      </c>
      <c r="F13" s="4"/>
    </row>
    <row r="14" ht="42.0" customHeight="1">
      <c r="A14" s="6" t="s">
        <v>77</v>
      </c>
      <c r="B14" s="6" t="s">
        <v>83</v>
      </c>
      <c r="C14" s="6" t="s">
        <v>84</v>
      </c>
      <c r="D14" s="6" t="s">
        <v>85</v>
      </c>
      <c r="E14" s="9" t="s">
        <v>75</v>
      </c>
      <c r="F14" s="4"/>
    </row>
    <row r="15" ht="30.0" customHeight="1">
      <c r="A15" s="6" t="s">
        <v>77</v>
      </c>
      <c r="B15" s="6" t="s">
        <v>87</v>
      </c>
      <c r="C15" s="6" t="s">
        <v>90</v>
      </c>
      <c r="D15" s="6" t="s">
        <v>92</v>
      </c>
      <c r="E15" s="9" t="s">
        <v>93</v>
      </c>
      <c r="F15" s="4"/>
    </row>
    <row r="16" ht="42.0" customHeight="1">
      <c r="A16" s="6" t="s">
        <v>96</v>
      </c>
      <c r="B16" s="6" t="s">
        <v>99</v>
      </c>
      <c r="C16" s="6" t="s">
        <v>101</v>
      </c>
      <c r="D16" s="9" t="s">
        <v>102</v>
      </c>
      <c r="E16" s="9" t="s">
        <v>93</v>
      </c>
      <c r="F16" s="4"/>
    </row>
    <row r="17" ht="72.0" customHeight="1">
      <c r="A17" s="6" t="s">
        <v>96</v>
      </c>
      <c r="B17" s="6" t="s">
        <v>105</v>
      </c>
      <c r="C17" s="6" t="s">
        <v>108</v>
      </c>
      <c r="D17" s="9" t="s">
        <v>110</v>
      </c>
      <c r="E17" s="9" t="s">
        <v>42</v>
      </c>
      <c r="F17" s="4"/>
    </row>
    <row r="18" ht="57.0" customHeight="1">
      <c r="A18" s="6" t="s">
        <v>96</v>
      </c>
      <c r="B18" s="6" t="s">
        <v>114</v>
      </c>
      <c r="C18" s="6" t="s">
        <v>116</v>
      </c>
      <c r="D18" s="9" t="s">
        <v>117</v>
      </c>
      <c r="E18" s="9" t="s">
        <v>42</v>
      </c>
      <c r="F18" s="4"/>
    </row>
    <row r="19" ht="57.0" customHeight="1">
      <c r="A19" s="6" t="s">
        <v>96</v>
      </c>
      <c r="B19" s="6" t="s">
        <v>119</v>
      </c>
      <c r="C19" s="6" t="s">
        <v>120</v>
      </c>
      <c r="D19" s="9" t="s">
        <v>122</v>
      </c>
      <c r="E19" s="9" t="s">
        <v>93</v>
      </c>
      <c r="F19" s="4"/>
    </row>
    <row r="20" ht="111.0" customHeight="1">
      <c r="A20" s="6" t="s">
        <v>96</v>
      </c>
      <c r="B20" s="6" t="s">
        <v>126</v>
      </c>
      <c r="C20" s="6" t="s">
        <v>128</v>
      </c>
      <c r="D20" s="9" t="s">
        <v>129</v>
      </c>
      <c r="E20" s="9" t="s">
        <v>31</v>
      </c>
      <c r="F20" s="4"/>
    </row>
    <row r="21" ht="42.0" customHeight="1">
      <c r="A21" s="6" t="s">
        <v>77</v>
      </c>
      <c r="B21" s="6" t="s">
        <v>132</v>
      </c>
      <c r="C21" s="6" t="s">
        <v>134</v>
      </c>
      <c r="D21" s="9" t="s">
        <v>137</v>
      </c>
      <c r="E21" s="9" t="s">
        <v>93</v>
      </c>
      <c r="F21" s="4"/>
    </row>
    <row r="22" ht="42.0" customHeight="1">
      <c r="A22" s="6" t="s">
        <v>140</v>
      </c>
      <c r="B22" s="6" t="s">
        <v>142</v>
      </c>
      <c r="C22" s="6" t="s">
        <v>143</v>
      </c>
      <c r="D22" s="6" t="s">
        <v>144</v>
      </c>
      <c r="E22" s="9" t="s">
        <v>146</v>
      </c>
      <c r="F22" s="4"/>
    </row>
    <row r="23" ht="30.0" customHeight="1">
      <c r="A23" s="6" t="s">
        <v>140</v>
      </c>
      <c r="B23" s="6" t="s">
        <v>151</v>
      </c>
      <c r="C23" s="6" t="s">
        <v>153</v>
      </c>
      <c r="D23" s="6" t="s">
        <v>137</v>
      </c>
      <c r="E23" s="9" t="s">
        <v>146</v>
      </c>
      <c r="F23" s="4"/>
    </row>
    <row r="24" ht="30.0" customHeight="1">
      <c r="A24" s="6" t="s">
        <v>140</v>
      </c>
      <c r="B24" s="6" t="s">
        <v>158</v>
      </c>
      <c r="C24" s="6" t="s">
        <v>159</v>
      </c>
      <c r="D24" s="6" t="s">
        <v>137</v>
      </c>
      <c r="E24" s="9" t="s">
        <v>146</v>
      </c>
      <c r="F24" s="4"/>
    </row>
    <row r="25" ht="30.0" customHeight="1">
      <c r="A25" s="6" t="s">
        <v>140</v>
      </c>
      <c r="B25" s="6" t="s">
        <v>162</v>
      </c>
      <c r="C25" s="6" t="s">
        <v>165</v>
      </c>
      <c r="D25" s="6" t="s">
        <v>137</v>
      </c>
      <c r="E25" s="9" t="s">
        <v>146</v>
      </c>
      <c r="F25" s="4"/>
    </row>
    <row r="26" ht="30.0" customHeight="1">
      <c r="A26" s="6" t="s">
        <v>140</v>
      </c>
      <c r="B26" s="6" t="s">
        <v>167</v>
      </c>
      <c r="C26" s="6" t="s">
        <v>169</v>
      </c>
      <c r="D26" s="6" t="s">
        <v>137</v>
      </c>
      <c r="E26" s="9" t="s">
        <v>146</v>
      </c>
      <c r="F26" s="4"/>
    </row>
    <row r="27" ht="72.0" customHeight="1">
      <c r="A27" s="6" t="s">
        <v>140</v>
      </c>
      <c r="B27" s="6" t="s">
        <v>173</v>
      </c>
      <c r="C27" s="6" t="s">
        <v>174</v>
      </c>
      <c r="D27" s="6" t="s">
        <v>176</v>
      </c>
      <c r="E27" s="9" t="s">
        <v>42</v>
      </c>
      <c r="F27" s="4"/>
    </row>
    <row r="28" ht="72.0" customHeight="1">
      <c r="A28" s="6" t="s">
        <v>140</v>
      </c>
      <c r="B28" s="6" t="s">
        <v>177</v>
      </c>
      <c r="C28" s="6" t="s">
        <v>178</v>
      </c>
      <c r="D28" s="6" t="s">
        <v>181</v>
      </c>
      <c r="E28" s="9" t="s">
        <v>42</v>
      </c>
      <c r="F28" s="4"/>
    </row>
    <row r="29" ht="66.0" customHeight="1">
      <c r="A29" s="6" t="s">
        <v>140</v>
      </c>
      <c r="B29" s="6" t="s">
        <v>185</v>
      </c>
      <c r="C29" s="6" t="s">
        <v>187</v>
      </c>
      <c r="D29" s="6" t="s">
        <v>190</v>
      </c>
      <c r="E29" s="9" t="s">
        <v>31</v>
      </c>
      <c r="F29" s="4"/>
    </row>
    <row r="30" ht="42.0" customHeight="1">
      <c r="A30" s="6" t="s">
        <v>140</v>
      </c>
      <c r="B30" s="9" t="s">
        <v>193</v>
      </c>
      <c r="C30" s="6" t="s">
        <v>196</v>
      </c>
      <c r="D30" s="9" t="s">
        <v>137</v>
      </c>
      <c r="E30" s="9" t="s">
        <v>146</v>
      </c>
      <c r="F30" s="4"/>
    </row>
    <row r="31" ht="96.0" customHeight="1">
      <c r="A31" s="6" t="s">
        <v>199</v>
      </c>
      <c r="B31" s="6" t="s">
        <v>201</v>
      </c>
      <c r="C31" s="6" t="s">
        <v>202</v>
      </c>
      <c r="D31" s="6" t="s">
        <v>204</v>
      </c>
      <c r="E31" s="9" t="s">
        <v>206</v>
      </c>
      <c r="F31" s="4"/>
    </row>
    <row r="32" ht="42.0" customHeight="1">
      <c r="A32" s="6" t="s">
        <v>199</v>
      </c>
      <c r="B32" s="6" t="s">
        <v>208</v>
      </c>
      <c r="C32" s="6" t="s">
        <v>210</v>
      </c>
      <c r="D32" s="6" t="s">
        <v>211</v>
      </c>
      <c r="E32" s="9" t="s">
        <v>146</v>
      </c>
      <c r="F32" s="4"/>
    </row>
    <row r="33" ht="42.0" customHeight="1">
      <c r="A33" s="6" t="s">
        <v>213</v>
      </c>
      <c r="B33" s="6" t="s">
        <v>215</v>
      </c>
      <c r="C33" s="6" t="s">
        <v>218</v>
      </c>
      <c r="D33" s="9" t="s">
        <v>137</v>
      </c>
      <c r="E33" s="9" t="s">
        <v>221</v>
      </c>
      <c r="F33" s="4"/>
    </row>
    <row r="34" ht="42.0" customHeight="1">
      <c r="A34" s="6" t="s">
        <v>213</v>
      </c>
      <c r="B34" s="6" t="s">
        <v>225</v>
      </c>
      <c r="C34" s="6" t="s">
        <v>218</v>
      </c>
      <c r="D34" s="9" t="s">
        <v>137</v>
      </c>
      <c r="E34" s="9" t="s">
        <v>221</v>
      </c>
      <c r="F34" s="4"/>
    </row>
    <row r="35" ht="30.0" customHeight="1">
      <c r="A35" s="6" t="s">
        <v>213</v>
      </c>
      <c r="B35" s="6" t="s">
        <v>231</v>
      </c>
      <c r="C35" s="6" t="s">
        <v>218</v>
      </c>
      <c r="D35" s="9" t="s">
        <v>137</v>
      </c>
      <c r="E35" s="9" t="s">
        <v>221</v>
      </c>
      <c r="F35" s="4"/>
    </row>
    <row r="36" ht="42.0" customHeight="1">
      <c r="A36" s="6" t="s">
        <v>213</v>
      </c>
      <c r="B36" s="9" t="s">
        <v>234</v>
      </c>
      <c r="C36" s="6" t="s">
        <v>218</v>
      </c>
      <c r="D36" s="9" t="s">
        <v>137</v>
      </c>
      <c r="E36" s="9" t="s">
        <v>221</v>
      </c>
      <c r="F36" s="4"/>
    </row>
    <row r="37" ht="42.0" customHeight="1">
      <c r="A37" s="6" t="s">
        <v>213</v>
      </c>
      <c r="B37" s="6" t="s">
        <v>237</v>
      </c>
      <c r="C37" s="6" t="s">
        <v>218</v>
      </c>
      <c r="D37" s="9" t="s">
        <v>137</v>
      </c>
      <c r="E37" s="9" t="s">
        <v>221</v>
      </c>
      <c r="F37" s="4"/>
    </row>
    <row r="38" ht="42.0" customHeight="1">
      <c r="A38" s="6" t="s">
        <v>213</v>
      </c>
      <c r="B38" s="6" t="s">
        <v>243</v>
      </c>
      <c r="C38" s="6" t="s">
        <v>218</v>
      </c>
      <c r="D38" s="9" t="s">
        <v>137</v>
      </c>
      <c r="E38" s="9" t="s">
        <v>221</v>
      </c>
      <c r="F38" s="4"/>
    </row>
    <row r="39" ht="30.0" customHeight="1">
      <c r="A39" s="6" t="s">
        <v>213</v>
      </c>
      <c r="B39" s="6" t="s">
        <v>245</v>
      </c>
      <c r="C39" s="6" t="s">
        <v>218</v>
      </c>
      <c r="D39" s="9" t="s">
        <v>137</v>
      </c>
      <c r="E39" s="9" t="s">
        <v>221</v>
      </c>
      <c r="F39" s="4"/>
    </row>
    <row r="40" ht="42.0" customHeight="1">
      <c r="A40" s="6" t="s">
        <v>213</v>
      </c>
      <c r="B40" s="6" t="s">
        <v>251</v>
      </c>
      <c r="C40" s="6" t="s">
        <v>218</v>
      </c>
      <c r="D40" s="9" t="s">
        <v>137</v>
      </c>
      <c r="E40" s="9" t="s">
        <v>221</v>
      </c>
      <c r="F40" s="4"/>
    </row>
    <row r="41" ht="30.0" customHeight="1">
      <c r="A41" s="6" t="s">
        <v>213</v>
      </c>
      <c r="B41" s="6" t="s">
        <v>259</v>
      </c>
      <c r="C41" s="6" t="s">
        <v>218</v>
      </c>
      <c r="D41" s="9" t="s">
        <v>137</v>
      </c>
      <c r="E41" s="9" t="s">
        <v>221</v>
      </c>
      <c r="F41" s="4"/>
    </row>
    <row r="42" ht="57.0" customHeight="1">
      <c r="A42" s="6" t="s">
        <v>213</v>
      </c>
      <c r="B42" s="6" t="s">
        <v>262</v>
      </c>
      <c r="C42" s="6" t="s">
        <v>218</v>
      </c>
      <c r="D42" s="9" t="s">
        <v>137</v>
      </c>
      <c r="E42" s="9" t="s">
        <v>221</v>
      </c>
      <c r="F42" s="4"/>
    </row>
    <row r="43" ht="42.0" customHeight="1">
      <c r="A43" s="6" t="s">
        <v>266</v>
      </c>
      <c r="B43" s="6" t="s">
        <v>267</v>
      </c>
      <c r="C43" s="6" t="s">
        <v>268</v>
      </c>
      <c r="D43" s="9" t="s">
        <v>137</v>
      </c>
      <c r="E43" s="9" t="s">
        <v>270</v>
      </c>
      <c r="F43" s="4"/>
    </row>
    <row r="44" ht="42.0" customHeight="1">
      <c r="A44" s="6" t="s">
        <v>266</v>
      </c>
      <c r="B44" s="6" t="s">
        <v>271</v>
      </c>
      <c r="C44" s="6" t="s">
        <v>268</v>
      </c>
      <c r="D44" s="9" t="s">
        <v>137</v>
      </c>
      <c r="E44" s="9" t="s">
        <v>270</v>
      </c>
      <c r="F44" s="4"/>
    </row>
    <row r="45" ht="42.0" customHeight="1">
      <c r="A45" s="6" t="s">
        <v>266</v>
      </c>
      <c r="B45" s="6" t="s">
        <v>276</v>
      </c>
      <c r="C45" s="6" t="s">
        <v>268</v>
      </c>
      <c r="D45" s="9" t="s">
        <v>137</v>
      </c>
      <c r="E45" s="9" t="s">
        <v>270</v>
      </c>
      <c r="F45" s="4"/>
    </row>
    <row r="46" ht="42.0" customHeight="1">
      <c r="A46" s="6" t="s">
        <v>279</v>
      </c>
      <c r="B46" s="6" t="s">
        <v>280</v>
      </c>
      <c r="C46" s="6" t="s">
        <v>281</v>
      </c>
      <c r="D46" s="9" t="s">
        <v>283</v>
      </c>
      <c r="E46" s="9" t="s">
        <v>286</v>
      </c>
      <c r="F46" s="4"/>
    </row>
    <row r="47" ht="42.0" customHeight="1">
      <c r="A47" s="6" t="s">
        <v>266</v>
      </c>
      <c r="B47" s="6" t="s">
        <v>289</v>
      </c>
      <c r="C47" s="6" t="s">
        <v>268</v>
      </c>
      <c r="D47" s="9" t="s">
        <v>137</v>
      </c>
      <c r="E47" s="9" t="s">
        <v>270</v>
      </c>
      <c r="F47" s="4"/>
    </row>
    <row r="48" ht="42.0" customHeight="1">
      <c r="A48" s="6" t="s">
        <v>266</v>
      </c>
      <c r="B48" s="6" t="s">
        <v>297</v>
      </c>
      <c r="C48" s="6" t="s">
        <v>268</v>
      </c>
      <c r="D48" s="9" t="s">
        <v>137</v>
      </c>
      <c r="E48" s="9" t="s">
        <v>270</v>
      </c>
      <c r="F48" s="4"/>
    </row>
    <row r="49" ht="21.0" customHeight="1">
      <c r="A49" s="6" t="s">
        <v>266</v>
      </c>
      <c r="B49" s="6" t="s">
        <v>299</v>
      </c>
      <c r="C49" s="6" t="s">
        <v>302</v>
      </c>
      <c r="D49" s="9" t="s">
        <v>303</v>
      </c>
      <c r="E49" s="9" t="s">
        <v>31</v>
      </c>
      <c r="F49" s="4"/>
    </row>
    <row r="50" ht="42.0" customHeight="1">
      <c r="A50" s="21" t="s">
        <v>307</v>
      </c>
      <c r="B50" s="21" t="s">
        <v>311</v>
      </c>
      <c r="C50" s="21" t="s">
        <v>313</v>
      </c>
      <c r="D50" s="21" t="s">
        <v>315</v>
      </c>
      <c r="E50" s="21" t="s">
        <v>317</v>
      </c>
      <c r="F50" s="4"/>
    </row>
    <row r="51" ht="42.0" customHeight="1">
      <c r="A51" s="21" t="s">
        <v>307</v>
      </c>
      <c r="B51" s="21" t="s">
        <v>321</v>
      </c>
      <c r="C51" s="21" t="s">
        <v>322</v>
      </c>
      <c r="D51" s="21" t="s">
        <v>323</v>
      </c>
      <c r="E51" s="21" t="s">
        <v>317</v>
      </c>
      <c r="F51" s="4"/>
    </row>
    <row r="52" ht="57.0" customHeight="1">
      <c r="A52" s="21" t="s">
        <v>326</v>
      </c>
      <c r="B52" s="21" t="s">
        <v>327</v>
      </c>
      <c r="C52" s="21" t="s">
        <v>331</v>
      </c>
      <c r="D52" s="21" t="s">
        <v>334</v>
      </c>
      <c r="E52" s="21" t="s">
        <v>317</v>
      </c>
      <c r="F52" s="4"/>
    </row>
    <row r="53" ht="57.0" customHeight="1">
      <c r="A53" s="21" t="s">
        <v>326</v>
      </c>
      <c r="B53" s="21" t="s">
        <v>340</v>
      </c>
      <c r="C53" s="21" t="s">
        <v>341</v>
      </c>
      <c r="D53" s="21" t="s">
        <v>342</v>
      </c>
      <c r="E53" s="21" t="s">
        <v>42</v>
      </c>
      <c r="F53" s="4"/>
    </row>
    <row r="54" ht="72.0" customHeight="1">
      <c r="A54" s="21" t="s">
        <v>326</v>
      </c>
      <c r="B54" s="21" t="s">
        <v>344</v>
      </c>
      <c r="C54" s="21" t="s">
        <v>347</v>
      </c>
      <c r="D54" s="21" t="s">
        <v>350</v>
      </c>
      <c r="E54" s="21" t="s">
        <v>42</v>
      </c>
      <c r="F54" s="4"/>
    </row>
    <row r="55" ht="96.0" customHeight="1">
      <c r="A55" s="21" t="s">
        <v>326</v>
      </c>
      <c r="B55" s="21" t="s">
        <v>354</v>
      </c>
      <c r="C55" s="21" t="s">
        <v>358</v>
      </c>
      <c r="D55" s="21" t="s">
        <v>360</v>
      </c>
      <c r="E55" s="21" t="s">
        <v>31</v>
      </c>
      <c r="F55" s="4"/>
    </row>
    <row r="56" ht="72.0" customHeight="1">
      <c r="A56" s="21" t="s">
        <v>326</v>
      </c>
      <c r="B56" s="21" t="s">
        <v>364</v>
      </c>
      <c r="C56" s="21" t="s">
        <v>367</v>
      </c>
      <c r="D56" s="21" t="s">
        <v>370</v>
      </c>
      <c r="E56" s="21" t="s">
        <v>42</v>
      </c>
      <c r="F56" s="4"/>
    </row>
    <row r="57" ht="87.0" customHeight="1">
      <c r="A57" s="21" t="s">
        <v>372</v>
      </c>
      <c r="B57" s="21" t="s">
        <v>375</v>
      </c>
      <c r="C57" s="21" t="s">
        <v>377</v>
      </c>
      <c r="D57" s="21" t="s">
        <v>383</v>
      </c>
      <c r="E57" s="21" t="s">
        <v>42</v>
      </c>
      <c r="F57" s="4"/>
    </row>
    <row r="58" ht="57.0" customHeight="1">
      <c r="A58" s="21" t="s">
        <v>384</v>
      </c>
      <c r="B58" s="21" t="s">
        <v>386</v>
      </c>
      <c r="C58" s="21" t="s">
        <v>387</v>
      </c>
      <c r="D58" s="21" t="s">
        <v>388</v>
      </c>
      <c r="E58" s="21" t="s">
        <v>317</v>
      </c>
      <c r="F58" s="4"/>
    </row>
    <row r="59" ht="57.0" customHeight="1">
      <c r="A59" s="21" t="s">
        <v>384</v>
      </c>
      <c r="B59" s="21" t="s">
        <v>390</v>
      </c>
      <c r="C59" s="21" t="s">
        <v>393</v>
      </c>
      <c r="D59" s="21" t="s">
        <v>397</v>
      </c>
      <c r="E59" s="21" t="s">
        <v>317</v>
      </c>
      <c r="F59" s="4"/>
    </row>
    <row r="60" ht="72.0" customHeight="1">
      <c r="A60" s="21" t="s">
        <v>403</v>
      </c>
      <c r="B60" s="21" t="s">
        <v>404</v>
      </c>
      <c r="C60" s="21" t="s">
        <v>406</v>
      </c>
      <c r="D60" s="21" t="s">
        <v>407</v>
      </c>
      <c r="E60" s="21" t="s">
        <v>317</v>
      </c>
      <c r="F60" s="4"/>
    </row>
    <row r="61" ht="42.0" customHeight="1">
      <c r="A61" s="21" t="s">
        <v>409</v>
      </c>
      <c r="B61" s="21" t="s">
        <v>412</v>
      </c>
      <c r="C61" s="21" t="s">
        <v>414</v>
      </c>
      <c r="D61" s="21" t="s">
        <v>416</v>
      </c>
      <c r="E61" s="21" t="s">
        <v>417</v>
      </c>
      <c r="F61" s="4"/>
    </row>
    <row r="62" ht="57.0" customHeight="1">
      <c r="A62" s="21" t="s">
        <v>419</v>
      </c>
      <c r="B62" s="21" t="s">
        <v>420</v>
      </c>
      <c r="C62" s="21" t="s">
        <v>421</v>
      </c>
      <c r="D62" s="21" t="s">
        <v>423</v>
      </c>
      <c r="E62" s="21" t="s">
        <v>417</v>
      </c>
      <c r="F62" s="4"/>
    </row>
    <row r="63" ht="66.0" customHeight="1">
      <c r="A63" s="21" t="s">
        <v>199</v>
      </c>
      <c r="B63" s="21" t="s">
        <v>426</v>
      </c>
      <c r="C63" s="21" t="s">
        <v>428</v>
      </c>
      <c r="D63" s="21" t="s">
        <v>431</v>
      </c>
      <c r="E63" s="21" t="s">
        <v>206</v>
      </c>
      <c r="F63" s="4"/>
    </row>
    <row r="64" ht="96.0" customHeight="1">
      <c r="A64" s="21" t="s">
        <v>434</v>
      </c>
      <c r="B64" s="21" t="s">
        <v>437</v>
      </c>
      <c r="C64" s="21" t="s">
        <v>439</v>
      </c>
      <c r="D64" s="21" t="s">
        <v>442</v>
      </c>
      <c r="E64" s="21" t="s">
        <v>31</v>
      </c>
      <c r="F64" s="4"/>
    </row>
    <row r="65" ht="72.0" customHeight="1">
      <c r="A65" s="21" t="s">
        <v>445</v>
      </c>
      <c r="B65" s="21" t="s">
        <v>447</v>
      </c>
      <c r="C65" s="21" t="s">
        <v>449</v>
      </c>
      <c r="D65" s="21" t="s">
        <v>450</v>
      </c>
      <c r="E65" s="21" t="s">
        <v>42</v>
      </c>
      <c r="F65" s="4"/>
    </row>
    <row r="66" ht="96.0" customHeight="1">
      <c r="A66" s="21" t="s">
        <v>452</v>
      </c>
      <c r="B66" s="21" t="s">
        <v>453</v>
      </c>
      <c r="C66" s="21" t="s">
        <v>454</v>
      </c>
      <c r="D66" s="21" t="s">
        <v>456</v>
      </c>
      <c r="E66" s="21" t="s">
        <v>31</v>
      </c>
      <c r="F66" s="4"/>
    </row>
    <row r="67" ht="81.0" customHeight="1">
      <c r="A67" s="21" t="s">
        <v>459</v>
      </c>
      <c r="B67" s="21" t="s">
        <v>460</v>
      </c>
      <c r="C67" s="21" t="s">
        <v>462</v>
      </c>
      <c r="D67" s="21" t="s">
        <v>463</v>
      </c>
      <c r="E67" s="21" t="s">
        <v>31</v>
      </c>
      <c r="F67" s="4"/>
    </row>
    <row r="68" ht="51.0" customHeight="1">
      <c r="A68" s="21" t="s">
        <v>61</v>
      </c>
      <c r="B68" s="21" t="s">
        <v>466</v>
      </c>
      <c r="C68" s="21" t="s">
        <v>467</v>
      </c>
      <c r="D68" s="21" t="s">
        <v>470</v>
      </c>
      <c r="E68" s="21" t="s">
        <v>31</v>
      </c>
      <c r="F68" s="4"/>
    </row>
    <row r="69" ht="81.0" customHeight="1">
      <c r="A69" s="21" t="s">
        <v>61</v>
      </c>
      <c r="B69" s="21" t="s">
        <v>475</v>
      </c>
      <c r="C69" s="21" t="s">
        <v>478</v>
      </c>
      <c r="D69" s="21" t="s">
        <v>480</v>
      </c>
      <c r="E69" s="21" t="s">
        <v>31</v>
      </c>
      <c r="F69" s="4"/>
    </row>
    <row r="70" ht="51.0" customHeight="1">
      <c r="A70" s="21" t="s">
        <v>61</v>
      </c>
      <c r="B70" s="21" t="s">
        <v>485</v>
      </c>
      <c r="C70" s="21" t="s">
        <v>486</v>
      </c>
      <c r="D70" s="21" t="s">
        <v>488</v>
      </c>
      <c r="E70" s="21" t="s">
        <v>31</v>
      </c>
      <c r="F70" s="4"/>
    </row>
    <row r="71" ht="66.0" customHeight="1">
      <c r="A71" s="21" t="s">
        <v>459</v>
      </c>
      <c r="B71" s="21" t="s">
        <v>492</v>
      </c>
      <c r="C71" s="21" t="s">
        <v>494</v>
      </c>
      <c r="D71" s="21" t="s">
        <v>495</v>
      </c>
      <c r="E71" s="21" t="s">
        <v>31</v>
      </c>
      <c r="F71" s="4"/>
    </row>
    <row r="72" ht="51.0" customHeight="1">
      <c r="A72" s="21" t="s">
        <v>459</v>
      </c>
      <c r="B72" s="21" t="s">
        <v>497</v>
      </c>
      <c r="C72" s="21" t="s">
        <v>498</v>
      </c>
      <c r="D72" s="21" t="s">
        <v>501</v>
      </c>
      <c r="E72" s="21" t="s">
        <v>31</v>
      </c>
      <c r="F72" s="4"/>
    </row>
    <row r="73" ht="57.0" customHeight="1">
      <c r="A73" s="21" t="s">
        <v>503</v>
      </c>
      <c r="B73" s="21" t="s">
        <v>504</v>
      </c>
      <c r="C73" s="21" t="s">
        <v>506</v>
      </c>
      <c r="D73" s="21" t="s">
        <v>508</v>
      </c>
      <c r="E73" s="21" t="s">
        <v>31</v>
      </c>
      <c r="F73" s="4"/>
    </row>
    <row r="74" ht="111.0" customHeight="1">
      <c r="A74" s="21" t="s">
        <v>503</v>
      </c>
      <c r="B74" s="21" t="s">
        <v>511</v>
      </c>
      <c r="C74" s="21" t="s">
        <v>512</v>
      </c>
      <c r="D74" s="21" t="s">
        <v>517</v>
      </c>
      <c r="E74" s="21" t="s">
        <v>31</v>
      </c>
      <c r="F74" s="4"/>
    </row>
    <row r="75" ht="57.0" customHeight="1">
      <c r="A75" s="21" t="s">
        <v>522</v>
      </c>
      <c r="B75" s="21" t="s">
        <v>524</v>
      </c>
      <c r="C75" s="21" t="s">
        <v>525</v>
      </c>
      <c r="D75" s="21" t="s">
        <v>526</v>
      </c>
      <c r="E75" s="21" t="s">
        <v>42</v>
      </c>
      <c r="F75" s="4"/>
    </row>
    <row r="76" ht="66.0" customHeight="1">
      <c r="A76" s="21" t="s">
        <v>503</v>
      </c>
      <c r="B76" s="21" t="s">
        <v>528</v>
      </c>
      <c r="C76" s="21" t="s">
        <v>530</v>
      </c>
      <c r="D76" s="21" t="s">
        <v>532</v>
      </c>
      <c r="E76" s="21" t="s">
        <v>31</v>
      </c>
      <c r="F76" s="4"/>
    </row>
    <row r="77" ht="66.0" customHeight="1">
      <c r="A77" s="21" t="s">
        <v>535</v>
      </c>
      <c r="B77" s="21" t="s">
        <v>537</v>
      </c>
      <c r="C77" s="21" t="s">
        <v>538</v>
      </c>
      <c r="D77" s="21" t="s">
        <v>540</v>
      </c>
      <c r="E77" s="21" t="s">
        <v>31</v>
      </c>
      <c r="F77" s="4"/>
    </row>
    <row r="78" ht="81.0" customHeight="1">
      <c r="A78" s="21" t="s">
        <v>541</v>
      </c>
      <c r="B78" s="21" t="s">
        <v>542</v>
      </c>
      <c r="C78" s="21" t="s">
        <v>546</v>
      </c>
      <c r="D78" s="21" t="s">
        <v>548</v>
      </c>
      <c r="E78" s="21" t="s">
        <v>31</v>
      </c>
      <c r="F78" s="4"/>
    </row>
    <row r="79" ht="57.0" customHeight="1">
      <c r="A79" s="21" t="s">
        <v>535</v>
      </c>
      <c r="B79" s="21" t="s">
        <v>551</v>
      </c>
      <c r="C79" s="21" t="s">
        <v>555</v>
      </c>
      <c r="D79" s="21" t="s">
        <v>558</v>
      </c>
      <c r="E79" s="21" t="s">
        <v>42</v>
      </c>
      <c r="F79" s="4"/>
    </row>
    <row r="80" ht="72.0" customHeight="1">
      <c r="A80" s="21" t="s">
        <v>535</v>
      </c>
      <c r="B80" s="21" t="s">
        <v>563</v>
      </c>
      <c r="C80" s="21" t="s">
        <v>565</v>
      </c>
      <c r="D80" s="21" t="s">
        <v>568</v>
      </c>
      <c r="E80" s="21" t="s">
        <v>31</v>
      </c>
      <c r="F80" s="4"/>
    </row>
    <row r="81" ht="57.0" customHeight="1">
      <c r="A81" s="21" t="s">
        <v>569</v>
      </c>
      <c r="B81" s="21" t="s">
        <v>571</v>
      </c>
      <c r="C81" s="21" t="s">
        <v>572</v>
      </c>
      <c r="D81" s="21" t="s">
        <v>573</v>
      </c>
      <c r="E81" s="21" t="s">
        <v>38</v>
      </c>
      <c r="F81" s="4"/>
    </row>
    <row r="82" ht="57.0" customHeight="1">
      <c r="A82" s="21" t="s">
        <v>575</v>
      </c>
      <c r="B82" s="21" t="s">
        <v>577</v>
      </c>
      <c r="C82" s="21" t="s">
        <v>579</v>
      </c>
      <c r="D82" s="21" t="s">
        <v>581</v>
      </c>
      <c r="E82" s="21" t="s">
        <v>38</v>
      </c>
      <c r="F82" s="4"/>
    </row>
    <row r="83" ht="81.0" customHeight="1">
      <c r="A83" s="21" t="s">
        <v>575</v>
      </c>
      <c r="B83" s="21" t="s">
        <v>582</v>
      </c>
      <c r="C83" s="21" t="s">
        <v>583</v>
      </c>
      <c r="D83" s="21" t="s">
        <v>584</v>
      </c>
      <c r="E83" s="21" t="s">
        <v>31</v>
      </c>
      <c r="F83" s="4"/>
    </row>
    <row r="84" ht="57.0" customHeight="1">
      <c r="A84" s="21" t="s">
        <v>588</v>
      </c>
      <c r="B84" s="21" t="s">
        <v>591</v>
      </c>
      <c r="C84" s="21" t="s">
        <v>593</v>
      </c>
      <c r="D84" s="21" t="s">
        <v>596</v>
      </c>
      <c r="E84" s="21" t="s">
        <v>42</v>
      </c>
      <c r="F84" s="4"/>
    </row>
    <row r="85" ht="72.0" customHeight="1">
      <c r="A85" s="21" t="s">
        <v>588</v>
      </c>
      <c r="B85" s="21" t="s">
        <v>600</v>
      </c>
      <c r="C85" s="21" t="s">
        <v>602</v>
      </c>
      <c r="D85" s="21" t="s">
        <v>605</v>
      </c>
      <c r="E85" s="21" t="s">
        <v>42</v>
      </c>
      <c r="F85" s="4"/>
    </row>
    <row r="86" ht="81.0" customHeight="1">
      <c r="A86" s="21" t="s">
        <v>607</v>
      </c>
      <c r="B86" s="21" t="s">
        <v>608</v>
      </c>
      <c r="C86" s="21" t="s">
        <v>609</v>
      </c>
      <c r="D86" s="21" t="s">
        <v>611</v>
      </c>
      <c r="E86" s="21" t="s">
        <v>31</v>
      </c>
      <c r="F86" s="4"/>
    </row>
    <row r="87" ht="51.0" customHeight="1">
      <c r="A87" s="21" t="s">
        <v>612</v>
      </c>
      <c r="B87" s="21" t="s">
        <v>614</v>
      </c>
      <c r="C87" s="21" t="s">
        <v>616</v>
      </c>
      <c r="D87" s="21" t="s">
        <v>618</v>
      </c>
      <c r="E87" s="21" t="s">
        <v>31</v>
      </c>
      <c r="F87" s="4"/>
    </row>
    <row r="88" ht="51.0" customHeight="1">
      <c r="A88" s="21" t="s">
        <v>612</v>
      </c>
      <c r="B88" s="21" t="s">
        <v>620</v>
      </c>
      <c r="C88" s="21" t="s">
        <v>622</v>
      </c>
      <c r="D88" s="21" t="s">
        <v>623</v>
      </c>
      <c r="E88" s="21" t="s">
        <v>31</v>
      </c>
      <c r="F88" s="4"/>
    </row>
    <row r="89" ht="42.0" customHeight="1">
      <c r="A89" s="21" t="s">
        <v>626</v>
      </c>
      <c r="B89" s="21" t="s">
        <v>628</v>
      </c>
      <c r="C89" s="21" t="s">
        <v>631</v>
      </c>
      <c r="D89" s="21" t="s">
        <v>633</v>
      </c>
      <c r="E89" s="21" t="s">
        <v>31</v>
      </c>
      <c r="F89" s="4"/>
    </row>
    <row r="90" ht="36.0" customHeight="1">
      <c r="A90" s="21" t="s">
        <v>626</v>
      </c>
      <c r="B90" s="21" t="s">
        <v>636</v>
      </c>
      <c r="C90" s="21" t="s">
        <v>639</v>
      </c>
      <c r="D90" s="21" t="s">
        <v>641</v>
      </c>
      <c r="E90" s="21" t="s">
        <v>31</v>
      </c>
      <c r="F90" s="4"/>
    </row>
    <row r="91" ht="51.0" customHeight="1">
      <c r="A91" s="21" t="s">
        <v>626</v>
      </c>
      <c r="B91" s="21" t="s">
        <v>646</v>
      </c>
      <c r="C91" s="21" t="s">
        <v>648</v>
      </c>
      <c r="D91" s="21" t="s">
        <v>650</v>
      </c>
      <c r="E91" s="21" t="s">
        <v>31</v>
      </c>
      <c r="F91" s="4"/>
    </row>
    <row r="92" ht="36.0" customHeight="1">
      <c r="A92" s="21" t="s">
        <v>626</v>
      </c>
      <c r="B92" s="21" t="s">
        <v>651</v>
      </c>
      <c r="C92" s="21" t="s">
        <v>653</v>
      </c>
      <c r="D92" s="21" t="s">
        <v>654</v>
      </c>
      <c r="E92" s="21" t="s">
        <v>31</v>
      </c>
      <c r="F92" s="4"/>
    </row>
    <row r="93" ht="66.0" customHeight="1">
      <c r="A93" s="21" t="s">
        <v>626</v>
      </c>
      <c r="B93" s="21" t="s">
        <v>656</v>
      </c>
      <c r="C93" s="21" t="s">
        <v>658</v>
      </c>
      <c r="D93" s="21" t="s">
        <v>660</v>
      </c>
      <c r="E93" s="21" t="s">
        <v>31</v>
      </c>
      <c r="F93" s="4"/>
    </row>
    <row r="94" ht="51.0" customHeight="1">
      <c r="A94" s="21" t="s">
        <v>612</v>
      </c>
      <c r="B94" s="21" t="s">
        <v>663</v>
      </c>
      <c r="C94" s="21" t="s">
        <v>664</v>
      </c>
      <c r="D94" s="21" t="s">
        <v>665</v>
      </c>
      <c r="E94" s="21" t="s">
        <v>31</v>
      </c>
      <c r="F94" s="4"/>
    </row>
    <row r="95" ht="51.0" customHeight="1">
      <c r="A95" s="21" t="s">
        <v>668</v>
      </c>
      <c r="B95" s="21" t="s">
        <v>670</v>
      </c>
      <c r="C95" s="21" t="s">
        <v>673</v>
      </c>
      <c r="D95" s="21" t="s">
        <v>675</v>
      </c>
      <c r="E95" s="21" t="s">
        <v>31</v>
      </c>
      <c r="F95" s="4"/>
    </row>
    <row r="96" ht="51.0" customHeight="1">
      <c r="A96" s="21" t="s">
        <v>680</v>
      </c>
      <c r="B96" s="21" t="s">
        <v>682</v>
      </c>
      <c r="C96" s="21" t="s">
        <v>683</v>
      </c>
      <c r="D96" s="21" t="s">
        <v>684</v>
      </c>
      <c r="E96" s="21" t="s">
        <v>31</v>
      </c>
      <c r="F96" s="4"/>
    </row>
    <row r="97" ht="42.0" customHeight="1">
      <c r="A97" s="21" t="s">
        <v>680</v>
      </c>
      <c r="B97" s="21" t="s">
        <v>687</v>
      </c>
      <c r="C97" s="21" t="s">
        <v>689</v>
      </c>
      <c r="D97" s="21" t="s">
        <v>691</v>
      </c>
      <c r="E97" s="21" t="s">
        <v>42</v>
      </c>
      <c r="F97" s="4"/>
    </row>
    <row r="98" ht="66.0" customHeight="1">
      <c r="A98" s="21" t="s">
        <v>692</v>
      </c>
      <c r="B98" s="21" t="s">
        <v>693</v>
      </c>
      <c r="C98" s="21" t="s">
        <v>695</v>
      </c>
      <c r="D98" s="21" t="s">
        <v>696</v>
      </c>
      <c r="E98" s="21" t="s">
        <v>31</v>
      </c>
      <c r="F98" s="4"/>
    </row>
    <row r="99" ht="42.0" customHeight="1">
      <c r="A99" s="21" t="s">
        <v>699</v>
      </c>
      <c r="B99" s="21" t="s">
        <v>700</v>
      </c>
      <c r="C99" s="21" t="s">
        <v>702</v>
      </c>
      <c r="D99" s="21" t="s">
        <v>703</v>
      </c>
      <c r="E99" s="21" t="s">
        <v>31</v>
      </c>
      <c r="F99" s="4"/>
    </row>
    <row r="100" ht="57.0" customHeight="1">
      <c r="A100" s="21" t="s">
        <v>699</v>
      </c>
      <c r="B100" s="21" t="s">
        <v>706</v>
      </c>
      <c r="C100" s="21" t="s">
        <v>708</v>
      </c>
      <c r="D100" s="21" t="s">
        <v>711</v>
      </c>
      <c r="E100" s="21" t="s">
        <v>31</v>
      </c>
      <c r="F100" s="4"/>
    </row>
    <row r="101" ht="81.0" customHeight="1">
      <c r="A101" s="21" t="s">
        <v>699</v>
      </c>
      <c r="B101" s="21" t="s">
        <v>715</v>
      </c>
      <c r="C101" s="21" t="s">
        <v>718</v>
      </c>
      <c r="D101" s="21" t="s">
        <v>719</v>
      </c>
      <c r="E101" s="21" t="s">
        <v>31</v>
      </c>
      <c r="F101" s="4"/>
    </row>
    <row r="102" ht="66.0" customHeight="1">
      <c r="A102" s="21" t="s">
        <v>699</v>
      </c>
      <c r="B102" s="21" t="s">
        <v>722</v>
      </c>
      <c r="C102" s="21" t="s">
        <v>724</v>
      </c>
      <c r="D102" s="21" t="s">
        <v>725</v>
      </c>
      <c r="E102" s="21" t="s">
        <v>31</v>
      </c>
      <c r="F102" s="4"/>
    </row>
    <row r="103" ht="57.0" customHeight="1">
      <c r="A103" s="21" t="s">
        <v>699</v>
      </c>
      <c r="B103" s="21" t="s">
        <v>728</v>
      </c>
      <c r="C103" s="21" t="s">
        <v>729</v>
      </c>
      <c r="D103" s="21" t="s">
        <v>732</v>
      </c>
      <c r="E103" s="21" t="s">
        <v>38</v>
      </c>
      <c r="F103" s="4"/>
    </row>
    <row r="104" ht="72.0" customHeight="1">
      <c r="A104" s="21" t="s">
        <v>699</v>
      </c>
      <c r="B104" s="21" t="s">
        <v>735</v>
      </c>
      <c r="C104" s="21" t="s">
        <v>736</v>
      </c>
      <c r="D104" s="21" t="s">
        <v>738</v>
      </c>
      <c r="E104" s="21" t="s">
        <v>31</v>
      </c>
      <c r="F104" s="4"/>
    </row>
    <row r="105" ht="51.0" customHeight="1">
      <c r="A105" s="21" t="s">
        <v>699</v>
      </c>
      <c r="B105" s="21" t="s">
        <v>740</v>
      </c>
      <c r="C105" s="21" t="s">
        <v>743</v>
      </c>
      <c r="D105" s="21" t="s">
        <v>745</v>
      </c>
      <c r="E105" s="21" t="s">
        <v>31</v>
      </c>
      <c r="F105" s="4"/>
    </row>
    <row r="106" ht="57.0" customHeight="1">
      <c r="A106" s="21" t="s">
        <v>699</v>
      </c>
      <c r="B106" s="21" t="s">
        <v>749</v>
      </c>
      <c r="C106" s="21" t="s">
        <v>753</v>
      </c>
      <c r="D106" s="21" t="s">
        <v>756</v>
      </c>
      <c r="E106" s="21" t="s">
        <v>38</v>
      </c>
      <c r="F106" s="4"/>
    </row>
    <row r="107" ht="42.0" customHeight="1">
      <c r="A107" s="21" t="s">
        <v>699</v>
      </c>
      <c r="B107" s="21" t="s">
        <v>758</v>
      </c>
      <c r="C107" s="21" t="s">
        <v>760</v>
      </c>
      <c r="D107" s="21" t="s">
        <v>762</v>
      </c>
      <c r="E107" s="21" t="s">
        <v>38</v>
      </c>
      <c r="F107" s="4"/>
    </row>
    <row r="108" ht="51.0" customHeight="1">
      <c r="A108" s="21" t="s">
        <v>699</v>
      </c>
      <c r="B108" s="21" t="s">
        <v>763</v>
      </c>
      <c r="C108" s="21" t="s">
        <v>765</v>
      </c>
      <c r="D108" s="21" t="s">
        <v>766</v>
      </c>
      <c r="E108" s="21" t="s">
        <v>31</v>
      </c>
      <c r="F108" s="4"/>
    </row>
    <row r="109" ht="15.75" customHeight="1">
      <c r="A109" s="4"/>
      <c r="B109" s="4"/>
      <c r="C109" s="4"/>
      <c r="D109" s="4"/>
      <c r="E109" s="4"/>
      <c r="F109" s="4"/>
    </row>
    <row r="110" ht="15.75" customHeight="1">
      <c r="A110" s="4"/>
      <c r="B110" s="4"/>
      <c r="C110" s="4"/>
      <c r="D110" s="4"/>
      <c r="E110" s="4"/>
      <c r="F110" s="4"/>
    </row>
    <row r="111" ht="15.75" customHeight="1">
      <c r="A111" s="4"/>
      <c r="B111" s="4"/>
      <c r="C111" s="4"/>
      <c r="D111" s="4"/>
      <c r="E111" s="4"/>
      <c r="F111" s="4"/>
    </row>
    <row r="112" ht="15.75" customHeight="1">
      <c r="A112" s="4"/>
      <c r="B112" s="4"/>
      <c r="C112" s="4"/>
      <c r="D112" s="4"/>
      <c r="E112" s="4"/>
      <c r="F112" s="4"/>
    </row>
    <row r="113" ht="15.75" customHeight="1">
      <c r="A113" s="4"/>
      <c r="B113" s="4"/>
      <c r="C113" s="4"/>
      <c r="D113" s="4"/>
      <c r="E113" s="4"/>
      <c r="F113" s="4"/>
    </row>
    <row r="114" ht="15.75" customHeight="1">
      <c r="A114" s="4"/>
      <c r="B114" s="4"/>
      <c r="C114" s="4"/>
      <c r="D114" s="4"/>
      <c r="E114" s="4"/>
      <c r="F114" s="4"/>
    </row>
    <row r="115" ht="15.75" customHeight="1">
      <c r="A115" s="4"/>
      <c r="B115" s="4"/>
      <c r="C115" s="4"/>
      <c r="D115" s="4"/>
      <c r="E115" s="4"/>
      <c r="F115" s="4"/>
    </row>
    <row r="116" ht="15.75" customHeight="1">
      <c r="A116" s="4"/>
      <c r="B116" s="4"/>
      <c r="C116" s="4"/>
      <c r="D116" s="4"/>
      <c r="E116" s="4"/>
      <c r="F116" s="4"/>
    </row>
    <row r="117" ht="15.75" customHeight="1">
      <c r="A117" s="4"/>
      <c r="B117" s="4"/>
      <c r="C117" s="4"/>
      <c r="D117" s="4"/>
      <c r="E117" s="4"/>
      <c r="F117" s="4"/>
    </row>
    <row r="118" ht="15.75" customHeight="1">
      <c r="A118" s="4"/>
      <c r="B118" s="4"/>
      <c r="C118" s="4"/>
      <c r="D118" s="4"/>
      <c r="E118" s="4"/>
      <c r="F118" s="4"/>
    </row>
    <row r="119" ht="15.75" customHeight="1">
      <c r="A119" s="4"/>
      <c r="B119" s="4"/>
      <c r="C119" s="4"/>
      <c r="D119" s="4"/>
      <c r="E119" s="4"/>
      <c r="F119" s="4"/>
    </row>
    <row r="120" ht="15.75" customHeight="1">
      <c r="A120" s="4"/>
      <c r="B120" s="4"/>
      <c r="C120" s="4"/>
      <c r="D120" s="4"/>
      <c r="E120" s="4"/>
      <c r="F120" s="4"/>
    </row>
    <row r="121" ht="15.75" customHeight="1">
      <c r="A121" s="4"/>
      <c r="B121" s="4"/>
      <c r="C121" s="4"/>
      <c r="D121" s="4"/>
      <c r="E121" s="4"/>
      <c r="F121" s="4"/>
    </row>
    <row r="122" ht="15.75" customHeight="1">
      <c r="A122" s="4"/>
      <c r="B122" s="4"/>
      <c r="C122" s="4"/>
      <c r="D122" s="4"/>
      <c r="E122" s="4"/>
      <c r="F122" s="4"/>
    </row>
    <row r="123" ht="15.75" customHeight="1">
      <c r="A123" s="4"/>
      <c r="B123" s="4"/>
      <c r="C123" s="4"/>
      <c r="D123" s="4"/>
      <c r="E123" s="4"/>
      <c r="F123" s="4"/>
    </row>
    <row r="124" ht="15.75" customHeight="1">
      <c r="A124" s="4"/>
      <c r="B124" s="4"/>
      <c r="C124" s="4"/>
      <c r="D124" s="4"/>
      <c r="E124" s="4"/>
      <c r="F124" s="4"/>
    </row>
    <row r="125" ht="15.75" customHeight="1">
      <c r="A125" s="4"/>
      <c r="B125" s="4"/>
      <c r="C125" s="4"/>
      <c r="D125" s="4"/>
      <c r="E125" s="4"/>
      <c r="F125" s="4"/>
    </row>
    <row r="126" ht="15.75" customHeight="1">
      <c r="A126" s="4"/>
      <c r="B126" s="4"/>
      <c r="C126" s="4"/>
      <c r="D126" s="4"/>
      <c r="E126" s="4"/>
      <c r="F126" s="4"/>
    </row>
    <row r="127" ht="15.75" customHeight="1">
      <c r="A127" s="4"/>
      <c r="B127" s="4"/>
      <c r="C127" s="4"/>
      <c r="D127" s="4"/>
      <c r="E127" s="4"/>
      <c r="F127" s="4"/>
    </row>
    <row r="128" ht="15.75" customHeight="1">
      <c r="A128" s="4"/>
      <c r="B128" s="4"/>
      <c r="C128" s="4"/>
      <c r="D128" s="4"/>
      <c r="E128" s="4"/>
      <c r="F128" s="4"/>
    </row>
    <row r="129" ht="15.75" customHeight="1">
      <c r="A129" s="4"/>
      <c r="B129" s="4"/>
      <c r="C129" s="4"/>
      <c r="D129" s="4"/>
      <c r="E129" s="4"/>
      <c r="F129" s="4"/>
    </row>
    <row r="130" ht="15.75" customHeight="1">
      <c r="A130" s="4"/>
      <c r="B130" s="4"/>
      <c r="C130" s="4"/>
      <c r="D130" s="4"/>
      <c r="E130" s="4"/>
      <c r="F130" s="4"/>
    </row>
    <row r="131" ht="15.75" customHeight="1">
      <c r="A131" s="4"/>
      <c r="B131" s="4"/>
      <c r="C131" s="4"/>
      <c r="D131" s="4"/>
      <c r="E131" s="4"/>
      <c r="F131" s="4"/>
    </row>
    <row r="132" ht="15.75" customHeight="1">
      <c r="A132" s="4"/>
      <c r="B132" s="4"/>
      <c r="C132" s="4"/>
      <c r="D132" s="4"/>
      <c r="E132" s="4"/>
      <c r="F132" s="4"/>
    </row>
    <row r="133" ht="15.75" customHeight="1">
      <c r="A133" s="4"/>
      <c r="B133" s="4"/>
      <c r="C133" s="4"/>
      <c r="D133" s="4"/>
      <c r="E133" s="4"/>
      <c r="F133" s="4"/>
    </row>
    <row r="134" ht="15.75" customHeight="1">
      <c r="A134" s="4"/>
      <c r="B134" s="4"/>
      <c r="C134" s="4"/>
      <c r="D134" s="4"/>
      <c r="E134" s="4"/>
      <c r="F134" s="4"/>
    </row>
    <row r="135" ht="15.75" customHeight="1">
      <c r="A135" s="4"/>
      <c r="B135" s="4"/>
      <c r="C135" s="4"/>
      <c r="D135" s="4"/>
      <c r="E135" s="4"/>
      <c r="F135" s="4"/>
    </row>
    <row r="136" ht="15.75" customHeight="1">
      <c r="A136" s="4"/>
      <c r="B136" s="4"/>
      <c r="C136" s="4"/>
      <c r="D136" s="4"/>
      <c r="E136" s="4"/>
      <c r="F136" s="4"/>
    </row>
    <row r="137" ht="15.75" customHeight="1">
      <c r="A137" s="4"/>
      <c r="B137" s="4"/>
      <c r="C137" s="4"/>
      <c r="D137" s="4"/>
      <c r="E137" s="4"/>
      <c r="F137" s="4"/>
    </row>
    <row r="138" ht="15.75" customHeight="1">
      <c r="A138" s="4"/>
      <c r="B138" s="4"/>
      <c r="C138" s="4"/>
      <c r="D138" s="4"/>
      <c r="E138" s="4"/>
      <c r="F138" s="4"/>
    </row>
    <row r="139" ht="15.75" customHeight="1">
      <c r="A139" s="4"/>
      <c r="B139" s="4"/>
      <c r="C139" s="4"/>
      <c r="D139" s="4"/>
      <c r="E139" s="4"/>
      <c r="F139" s="4"/>
    </row>
    <row r="140" ht="15.75" customHeight="1">
      <c r="A140" s="4"/>
      <c r="B140" s="4"/>
      <c r="C140" s="4"/>
      <c r="D140" s="4"/>
      <c r="E140" s="4"/>
      <c r="F140" s="4"/>
    </row>
    <row r="141" ht="15.75" customHeight="1">
      <c r="A141" s="4"/>
      <c r="B141" s="4"/>
      <c r="C141" s="4"/>
      <c r="D141" s="4"/>
      <c r="E141" s="4"/>
      <c r="F141" s="4"/>
    </row>
    <row r="142" ht="15.75" customHeight="1">
      <c r="A142" s="4"/>
      <c r="B142" s="4"/>
      <c r="C142" s="4"/>
      <c r="D142" s="4"/>
      <c r="E142" s="4"/>
      <c r="F142" s="4"/>
    </row>
    <row r="143" ht="15.75" customHeight="1">
      <c r="A143" s="4"/>
      <c r="B143" s="4"/>
      <c r="C143" s="4"/>
      <c r="D143" s="4"/>
      <c r="E143" s="4"/>
      <c r="F143" s="4"/>
    </row>
    <row r="144" ht="15.75" customHeight="1">
      <c r="A144" s="4"/>
      <c r="B144" s="4"/>
      <c r="C144" s="4"/>
      <c r="D144" s="4"/>
      <c r="E144" s="4"/>
      <c r="F144" s="4"/>
    </row>
    <row r="145" ht="15.75" customHeight="1">
      <c r="A145" s="4"/>
      <c r="B145" s="4"/>
      <c r="C145" s="4"/>
      <c r="D145" s="4"/>
      <c r="E145" s="4"/>
      <c r="F145" s="4"/>
    </row>
    <row r="146" ht="15.75" customHeight="1">
      <c r="A146" s="4"/>
      <c r="B146" s="4"/>
      <c r="C146" s="4"/>
      <c r="D146" s="4"/>
      <c r="E146" s="4"/>
      <c r="F146" s="4"/>
    </row>
    <row r="147" ht="15.75" customHeight="1">
      <c r="A147" s="4"/>
      <c r="B147" s="4"/>
      <c r="C147" s="4"/>
      <c r="D147" s="4"/>
      <c r="E147" s="4"/>
      <c r="F147" s="4"/>
    </row>
    <row r="148" ht="15.75" customHeight="1">
      <c r="A148" s="4"/>
      <c r="B148" s="4"/>
      <c r="C148" s="4"/>
      <c r="D148" s="4"/>
      <c r="E148" s="4"/>
      <c r="F148" s="4"/>
    </row>
    <row r="149" ht="15.75" customHeight="1">
      <c r="A149" s="4"/>
      <c r="B149" s="4"/>
      <c r="C149" s="4"/>
      <c r="D149" s="4"/>
      <c r="E149" s="4"/>
      <c r="F149" s="4"/>
    </row>
    <row r="150" ht="15.75" customHeight="1">
      <c r="A150" s="4"/>
      <c r="B150" s="4"/>
      <c r="C150" s="4"/>
      <c r="D150" s="4"/>
      <c r="E150" s="4"/>
      <c r="F150" s="4"/>
    </row>
    <row r="151" ht="15.75" customHeight="1">
      <c r="A151" s="4"/>
      <c r="B151" s="4"/>
      <c r="C151" s="4"/>
      <c r="D151" s="4"/>
      <c r="E151" s="4"/>
      <c r="F151" s="4"/>
    </row>
    <row r="152" ht="15.75" customHeight="1">
      <c r="A152" s="4"/>
      <c r="B152" s="4"/>
      <c r="C152" s="4"/>
      <c r="D152" s="4"/>
      <c r="E152" s="4"/>
      <c r="F152" s="4"/>
    </row>
    <row r="153" ht="15.75" customHeight="1">
      <c r="A153" s="4"/>
      <c r="B153" s="4"/>
      <c r="C153" s="4"/>
      <c r="D153" s="4"/>
      <c r="E153" s="4"/>
      <c r="F153" s="4"/>
    </row>
    <row r="154" ht="15.75" customHeight="1">
      <c r="A154" s="4"/>
      <c r="B154" s="4"/>
      <c r="C154" s="4"/>
      <c r="D154" s="4"/>
      <c r="E154" s="4"/>
      <c r="F154" s="4"/>
    </row>
    <row r="155" ht="15.75" customHeight="1">
      <c r="A155" s="4"/>
      <c r="B155" s="4"/>
      <c r="C155" s="4"/>
      <c r="D155" s="4"/>
      <c r="E155" s="4"/>
      <c r="F155" s="4"/>
    </row>
    <row r="156" ht="15.75" customHeight="1">
      <c r="A156" s="4"/>
      <c r="B156" s="4"/>
      <c r="C156" s="4"/>
      <c r="D156" s="4"/>
      <c r="E156" s="4"/>
      <c r="F156" s="4"/>
    </row>
    <row r="157" ht="15.75" customHeight="1">
      <c r="A157" s="4"/>
      <c r="B157" s="4"/>
      <c r="C157" s="4"/>
      <c r="D157" s="4"/>
      <c r="E157" s="4"/>
      <c r="F157" s="4"/>
    </row>
    <row r="158" ht="15.75" customHeight="1">
      <c r="A158" s="4"/>
      <c r="B158" s="4"/>
      <c r="C158" s="4"/>
      <c r="D158" s="4"/>
      <c r="E158" s="4"/>
      <c r="F158" s="4"/>
    </row>
    <row r="159" ht="15.75" customHeight="1">
      <c r="A159" s="4"/>
      <c r="B159" s="4"/>
      <c r="C159" s="4"/>
      <c r="D159" s="4"/>
      <c r="E159" s="4"/>
      <c r="F159" s="4"/>
    </row>
    <row r="160" ht="15.75" customHeight="1">
      <c r="A160" s="4"/>
      <c r="B160" s="4"/>
      <c r="C160" s="4"/>
      <c r="D160" s="4"/>
      <c r="E160" s="4"/>
      <c r="F160" s="4"/>
    </row>
    <row r="161" ht="15.75" customHeight="1">
      <c r="A161" s="4"/>
      <c r="B161" s="4"/>
      <c r="C161" s="4"/>
      <c r="D161" s="4"/>
      <c r="E161" s="4"/>
      <c r="F161" s="4"/>
    </row>
    <row r="162" ht="15.75" customHeight="1">
      <c r="A162" s="4"/>
      <c r="B162" s="4"/>
      <c r="C162" s="4"/>
      <c r="D162" s="4"/>
      <c r="E162" s="4"/>
      <c r="F162" s="4"/>
    </row>
    <row r="163" ht="15.75" customHeight="1">
      <c r="A163" s="4"/>
      <c r="B163" s="4"/>
      <c r="C163" s="4"/>
      <c r="D163" s="4"/>
      <c r="E163" s="4"/>
      <c r="F163" s="4"/>
    </row>
    <row r="164" ht="15.75" customHeight="1">
      <c r="A164" s="4"/>
      <c r="B164" s="4"/>
      <c r="C164" s="4"/>
      <c r="D164" s="4"/>
      <c r="E164" s="4"/>
      <c r="F164" s="4"/>
    </row>
    <row r="165" ht="15.75" customHeight="1">
      <c r="A165" s="4"/>
      <c r="B165" s="4"/>
      <c r="C165" s="4"/>
      <c r="D165" s="4"/>
      <c r="E165" s="4"/>
      <c r="F165" s="4"/>
    </row>
    <row r="166" ht="15.75" customHeight="1">
      <c r="A166" s="4"/>
      <c r="B166" s="4"/>
      <c r="C166" s="4"/>
      <c r="D166" s="4"/>
      <c r="E166" s="4"/>
      <c r="F166" s="4"/>
    </row>
    <row r="167" ht="15.75" customHeight="1">
      <c r="A167" s="4"/>
      <c r="B167" s="4"/>
      <c r="C167" s="4"/>
      <c r="D167" s="4"/>
      <c r="E167" s="4"/>
      <c r="F167" s="4"/>
    </row>
    <row r="168" ht="15.75" customHeight="1">
      <c r="A168" s="4"/>
      <c r="B168" s="4"/>
      <c r="C168" s="4"/>
      <c r="D168" s="4"/>
      <c r="E168" s="4"/>
      <c r="F168" s="4"/>
    </row>
    <row r="169" ht="15.75" customHeight="1">
      <c r="A169" s="4"/>
      <c r="B169" s="4"/>
      <c r="C169" s="4"/>
      <c r="D169" s="4"/>
      <c r="E169" s="4"/>
      <c r="F169" s="4"/>
    </row>
    <row r="170" ht="15.75" customHeight="1">
      <c r="A170" s="4"/>
      <c r="B170" s="4"/>
      <c r="C170" s="4"/>
      <c r="D170" s="4"/>
      <c r="E170" s="4"/>
      <c r="F170" s="4"/>
    </row>
    <row r="171" ht="15.75" customHeight="1">
      <c r="A171" s="4"/>
      <c r="B171" s="4"/>
      <c r="C171" s="4"/>
      <c r="D171" s="4"/>
      <c r="E171" s="4"/>
      <c r="F171" s="4"/>
    </row>
    <row r="172" ht="15.75" customHeight="1">
      <c r="A172" s="4"/>
      <c r="B172" s="4"/>
      <c r="C172" s="4"/>
      <c r="D172" s="4"/>
      <c r="E172" s="4"/>
      <c r="F172" s="4"/>
    </row>
    <row r="173" ht="15.75" customHeight="1">
      <c r="A173" s="4"/>
      <c r="B173" s="4"/>
      <c r="C173" s="4"/>
      <c r="D173" s="4"/>
      <c r="E173" s="4"/>
      <c r="F173" s="4"/>
    </row>
    <row r="174" ht="15.75" customHeight="1">
      <c r="A174" s="4"/>
      <c r="B174" s="4"/>
      <c r="C174" s="4"/>
      <c r="D174" s="4"/>
      <c r="E174" s="4"/>
      <c r="F174" s="4"/>
    </row>
    <row r="175" ht="15.75" customHeight="1">
      <c r="A175" s="4"/>
      <c r="B175" s="4"/>
      <c r="C175" s="4"/>
      <c r="D175" s="4"/>
      <c r="E175" s="4"/>
      <c r="F175" s="4"/>
    </row>
    <row r="176" ht="15.75" customHeight="1">
      <c r="A176" s="4"/>
      <c r="B176" s="4"/>
      <c r="C176" s="4"/>
      <c r="D176" s="4"/>
      <c r="E176" s="4"/>
      <c r="F176" s="4"/>
    </row>
    <row r="177" ht="15.75" customHeight="1">
      <c r="A177" s="4"/>
      <c r="B177" s="4"/>
      <c r="C177" s="4"/>
      <c r="D177" s="4"/>
      <c r="E177" s="4"/>
      <c r="F177" s="4"/>
    </row>
    <row r="178" ht="15.75" customHeight="1">
      <c r="A178" s="4"/>
      <c r="B178" s="4"/>
      <c r="C178" s="4"/>
      <c r="D178" s="4"/>
      <c r="E178" s="4"/>
      <c r="F178" s="4"/>
    </row>
    <row r="179" ht="15.75" customHeight="1">
      <c r="A179" s="4"/>
      <c r="B179" s="4"/>
      <c r="C179" s="4"/>
      <c r="D179" s="4"/>
      <c r="E179" s="4"/>
      <c r="F179" s="4"/>
    </row>
    <row r="180" ht="15.75" customHeight="1">
      <c r="A180" s="4"/>
      <c r="B180" s="4"/>
      <c r="C180" s="4"/>
      <c r="D180" s="4"/>
      <c r="E180" s="4"/>
      <c r="F180" s="4"/>
    </row>
    <row r="181" ht="15.75" customHeight="1">
      <c r="A181" s="4"/>
      <c r="B181" s="4"/>
      <c r="C181" s="4"/>
      <c r="D181" s="4"/>
      <c r="E181" s="4"/>
      <c r="F181" s="4"/>
    </row>
    <row r="182" ht="15.75" customHeight="1">
      <c r="A182" s="4"/>
      <c r="B182" s="4"/>
      <c r="C182" s="4"/>
      <c r="D182" s="4"/>
      <c r="E182" s="4"/>
      <c r="F182" s="4"/>
    </row>
    <row r="183" ht="15.75" customHeight="1">
      <c r="A183" s="4"/>
      <c r="B183" s="4"/>
      <c r="C183" s="4"/>
      <c r="D183" s="4"/>
      <c r="E183" s="4"/>
      <c r="F183" s="4"/>
    </row>
    <row r="184" ht="15.75" customHeight="1">
      <c r="A184" s="4"/>
      <c r="B184" s="4"/>
      <c r="C184" s="4"/>
      <c r="D184" s="4"/>
      <c r="E184" s="4"/>
      <c r="F184" s="4"/>
    </row>
    <row r="185" ht="15.75" customHeight="1">
      <c r="A185" s="4"/>
      <c r="B185" s="4"/>
      <c r="C185" s="4"/>
      <c r="D185" s="4"/>
      <c r="E185" s="4"/>
      <c r="F185" s="4"/>
    </row>
    <row r="186" ht="15.75" customHeight="1">
      <c r="A186" s="4"/>
      <c r="B186" s="4"/>
      <c r="C186" s="4"/>
      <c r="D186" s="4"/>
      <c r="E186" s="4"/>
      <c r="F186" s="4"/>
    </row>
    <row r="187" ht="15.75" customHeight="1">
      <c r="A187" s="4"/>
      <c r="B187" s="4"/>
      <c r="C187" s="4"/>
      <c r="D187" s="4"/>
      <c r="E187" s="4"/>
      <c r="F187" s="4"/>
    </row>
    <row r="188" ht="15.75" customHeight="1">
      <c r="A188" s="4"/>
      <c r="B188" s="4"/>
      <c r="C188" s="4"/>
      <c r="D188" s="4"/>
      <c r="E188" s="4"/>
      <c r="F188" s="4"/>
    </row>
    <row r="189" ht="15.75" customHeight="1">
      <c r="A189" s="4"/>
      <c r="B189" s="4"/>
      <c r="C189" s="4"/>
      <c r="D189" s="4"/>
      <c r="E189" s="4"/>
      <c r="F189" s="4"/>
    </row>
    <row r="190" ht="15.75" customHeight="1">
      <c r="A190" s="4"/>
      <c r="B190" s="4"/>
      <c r="C190" s="4"/>
      <c r="D190" s="4"/>
      <c r="E190" s="4"/>
      <c r="F190" s="4"/>
    </row>
    <row r="191" ht="15.75" customHeight="1">
      <c r="A191" s="4"/>
      <c r="B191" s="4"/>
      <c r="C191" s="4"/>
      <c r="D191" s="4"/>
      <c r="E191" s="4"/>
      <c r="F191" s="4"/>
    </row>
    <row r="192" ht="15.75" customHeight="1">
      <c r="A192" s="4"/>
      <c r="B192" s="4"/>
      <c r="C192" s="4"/>
      <c r="D192" s="4"/>
      <c r="E192" s="4"/>
      <c r="F192" s="4"/>
    </row>
    <row r="193" ht="15.75" customHeight="1">
      <c r="A193" s="4"/>
      <c r="B193" s="4"/>
      <c r="C193" s="4"/>
      <c r="D193" s="4"/>
      <c r="E193" s="4"/>
      <c r="F193" s="4"/>
    </row>
    <row r="194" ht="15.75" customHeight="1">
      <c r="A194" s="4"/>
      <c r="B194" s="4"/>
      <c r="C194" s="4"/>
      <c r="D194" s="4"/>
      <c r="E194" s="4"/>
      <c r="F194" s="4"/>
    </row>
    <row r="195" ht="15.75" customHeight="1">
      <c r="A195" s="4"/>
      <c r="B195" s="4"/>
      <c r="C195" s="4"/>
      <c r="D195" s="4"/>
      <c r="E195" s="4"/>
      <c r="F195" s="4"/>
    </row>
    <row r="196" ht="15.75" customHeight="1">
      <c r="A196" s="4"/>
      <c r="B196" s="4"/>
      <c r="C196" s="4"/>
      <c r="D196" s="4"/>
      <c r="E196" s="4"/>
      <c r="F196" s="4"/>
    </row>
    <row r="197" ht="15.75" customHeight="1">
      <c r="A197" s="4"/>
      <c r="B197" s="4"/>
      <c r="C197" s="4"/>
      <c r="D197" s="4"/>
      <c r="E197" s="4"/>
      <c r="F197" s="4"/>
    </row>
    <row r="198" ht="15.75" customHeight="1">
      <c r="A198" s="4"/>
      <c r="B198" s="4"/>
      <c r="C198" s="4"/>
      <c r="D198" s="4"/>
      <c r="E198" s="4"/>
      <c r="F198" s="4"/>
    </row>
    <row r="199" ht="15.75" customHeight="1">
      <c r="A199" s="4"/>
      <c r="B199" s="4"/>
      <c r="C199" s="4"/>
      <c r="D199" s="4"/>
      <c r="E199" s="4"/>
      <c r="F199" s="4"/>
    </row>
    <row r="200" ht="15.75" customHeight="1">
      <c r="A200" s="4"/>
      <c r="B200" s="4"/>
      <c r="C200" s="4"/>
      <c r="D200" s="4"/>
      <c r="E200" s="4"/>
      <c r="F200" s="4"/>
    </row>
    <row r="201" ht="15.75" customHeight="1">
      <c r="A201" s="4"/>
      <c r="B201" s="4"/>
      <c r="C201" s="4"/>
      <c r="D201" s="4"/>
      <c r="E201" s="4"/>
      <c r="F201" s="4"/>
    </row>
    <row r="202" ht="15.75" customHeight="1">
      <c r="A202" s="4"/>
      <c r="B202" s="4"/>
      <c r="C202" s="4"/>
      <c r="D202" s="4"/>
      <c r="E202" s="4"/>
      <c r="F202" s="4"/>
    </row>
    <row r="203" ht="15.75" customHeight="1">
      <c r="A203" s="4"/>
      <c r="B203" s="4"/>
      <c r="C203" s="4"/>
      <c r="D203" s="4"/>
      <c r="E203" s="4"/>
      <c r="F203" s="4"/>
    </row>
    <row r="204" ht="15.75" customHeight="1">
      <c r="A204" s="4"/>
      <c r="B204" s="4"/>
      <c r="C204" s="4"/>
      <c r="D204" s="4"/>
      <c r="E204" s="4"/>
      <c r="F204" s="4"/>
    </row>
    <row r="205" ht="15.75" customHeight="1">
      <c r="A205" s="4"/>
      <c r="B205" s="4"/>
      <c r="C205" s="4"/>
      <c r="D205" s="4"/>
      <c r="E205" s="4"/>
      <c r="F205" s="4"/>
    </row>
    <row r="206" ht="15.75" customHeight="1">
      <c r="A206" s="4"/>
      <c r="B206" s="4"/>
      <c r="C206" s="4"/>
      <c r="D206" s="4"/>
      <c r="E206" s="4"/>
      <c r="F206" s="4"/>
    </row>
    <row r="207" ht="15.75" customHeight="1">
      <c r="A207" s="4"/>
      <c r="B207" s="4"/>
      <c r="C207" s="4"/>
      <c r="D207" s="4"/>
      <c r="E207" s="4"/>
      <c r="F207" s="4"/>
    </row>
    <row r="208" ht="15.75" customHeight="1">
      <c r="A208" s="4"/>
      <c r="B208" s="4"/>
      <c r="C208" s="4"/>
      <c r="D208" s="4"/>
      <c r="E208" s="4"/>
      <c r="F208" s="4"/>
    </row>
    <row r="209" ht="15.75" customHeight="1">
      <c r="A209" s="4"/>
      <c r="B209" s="4"/>
      <c r="C209" s="4"/>
      <c r="D209" s="4"/>
      <c r="E209" s="4"/>
      <c r="F209" s="4"/>
    </row>
    <row r="210" ht="15.75" customHeight="1">
      <c r="A210" s="4"/>
      <c r="B210" s="4"/>
      <c r="C210" s="4"/>
      <c r="D210" s="4"/>
      <c r="E210" s="4"/>
      <c r="F210" s="4"/>
    </row>
    <row r="211" ht="15.75" customHeight="1">
      <c r="A211" s="4"/>
      <c r="B211" s="4"/>
      <c r="C211" s="4"/>
      <c r="D211" s="4"/>
      <c r="E211" s="4"/>
      <c r="F211" s="4"/>
    </row>
    <row r="212" ht="15.75" customHeight="1">
      <c r="A212" s="4"/>
      <c r="B212" s="4"/>
      <c r="C212" s="4"/>
      <c r="D212" s="4"/>
      <c r="E212" s="4"/>
      <c r="F212" s="4"/>
    </row>
    <row r="213" ht="15.75" customHeight="1">
      <c r="A213" s="4"/>
      <c r="B213" s="4"/>
      <c r="C213" s="4"/>
      <c r="D213" s="4"/>
      <c r="E213" s="4"/>
      <c r="F213" s="4"/>
    </row>
    <row r="214" ht="15.75" customHeight="1">
      <c r="A214" s="4"/>
      <c r="B214" s="4"/>
      <c r="C214" s="4"/>
      <c r="D214" s="4"/>
      <c r="E214" s="4"/>
      <c r="F214" s="4"/>
    </row>
    <row r="215" ht="15.75" customHeight="1">
      <c r="A215" s="4"/>
      <c r="B215" s="4"/>
      <c r="C215" s="4"/>
      <c r="D215" s="4"/>
      <c r="E215" s="4"/>
      <c r="F215" s="4"/>
    </row>
    <row r="216" ht="15.75" customHeight="1">
      <c r="A216" s="4"/>
      <c r="B216" s="4"/>
      <c r="C216" s="4"/>
      <c r="D216" s="4"/>
      <c r="E216" s="4"/>
      <c r="F216" s="4"/>
    </row>
    <row r="217" ht="15.75" customHeight="1">
      <c r="A217" s="4"/>
      <c r="B217" s="4"/>
      <c r="C217" s="4"/>
      <c r="D217" s="4"/>
      <c r="E217" s="4"/>
      <c r="F217" s="4"/>
    </row>
    <row r="218" ht="15.75" customHeight="1">
      <c r="A218" s="4"/>
      <c r="B218" s="4"/>
      <c r="C218" s="4"/>
      <c r="D218" s="4"/>
      <c r="E218" s="4"/>
      <c r="F218" s="4"/>
    </row>
    <row r="219" ht="15.75" customHeight="1">
      <c r="A219" s="4"/>
      <c r="B219" s="4"/>
      <c r="C219" s="4"/>
      <c r="D219" s="4"/>
      <c r="E219" s="4"/>
      <c r="F219" s="4"/>
    </row>
    <row r="220" ht="15.75" customHeight="1">
      <c r="A220" s="4"/>
      <c r="B220" s="4"/>
      <c r="C220" s="4"/>
      <c r="D220" s="4"/>
      <c r="E220" s="4"/>
      <c r="F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autoFilter ref="$A$1:$E$108"/>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7.0"/>
    <col customWidth="1" min="3" max="3" width="115.0"/>
    <col customWidth="1" min="4" max="6" width="8.71"/>
  </cols>
  <sheetData>
    <row r="1" ht="33.75" customHeight="1">
      <c r="A1" s="2" t="s">
        <v>939</v>
      </c>
      <c r="B1" s="2" t="s">
        <v>940</v>
      </c>
      <c r="C1" s="2" t="s">
        <v>941</v>
      </c>
      <c r="D1" s="4"/>
      <c r="E1" s="4"/>
      <c r="F1" s="4"/>
    </row>
    <row r="2" ht="42.0" customHeight="1">
      <c r="A2" s="6" t="s">
        <v>22</v>
      </c>
      <c r="B2" s="9" t="s">
        <v>942</v>
      </c>
      <c r="C2" s="9" t="s">
        <v>943</v>
      </c>
      <c r="D2" s="4"/>
      <c r="E2" s="4"/>
      <c r="F2" s="4"/>
    </row>
    <row r="3" ht="42.0" customHeight="1">
      <c r="A3" s="6" t="s">
        <v>24</v>
      </c>
      <c r="B3" s="9" t="s">
        <v>944</v>
      </c>
      <c r="C3" s="6" t="s">
        <v>945</v>
      </c>
      <c r="D3" s="4"/>
      <c r="E3" s="4"/>
      <c r="F3" s="4"/>
    </row>
    <row r="4" ht="57.0" customHeight="1">
      <c r="A4" s="6" t="s">
        <v>26</v>
      </c>
      <c r="B4" s="9" t="s">
        <v>71</v>
      </c>
      <c r="C4" s="9" t="s">
        <v>946</v>
      </c>
      <c r="D4" s="4"/>
      <c r="E4" s="4"/>
      <c r="F4" s="4"/>
    </row>
    <row r="5" ht="30.0" customHeight="1">
      <c r="A5" s="6" t="s">
        <v>26</v>
      </c>
      <c r="B5" s="9" t="s">
        <v>131</v>
      </c>
      <c r="C5" s="6" t="s">
        <v>947</v>
      </c>
      <c r="D5" s="4"/>
      <c r="E5" s="4"/>
      <c r="F5" s="4"/>
    </row>
    <row r="6" ht="30.0" customHeight="1">
      <c r="A6" s="6" t="s">
        <v>26</v>
      </c>
      <c r="B6" s="9" t="s">
        <v>345</v>
      </c>
      <c r="C6" s="6" t="s">
        <v>948</v>
      </c>
      <c r="D6" s="4"/>
      <c r="E6" s="4"/>
      <c r="F6" s="4"/>
    </row>
    <row r="7" ht="30.0" customHeight="1">
      <c r="A7" s="6" t="s">
        <v>26</v>
      </c>
      <c r="B7" s="9" t="s">
        <v>353</v>
      </c>
      <c r="C7" s="6" t="s">
        <v>949</v>
      </c>
      <c r="D7" s="4"/>
      <c r="E7" s="4"/>
      <c r="F7" s="4"/>
    </row>
    <row r="8" ht="30.0" customHeight="1">
      <c r="A8" s="6" t="s">
        <v>26</v>
      </c>
      <c r="B8" s="6" t="s">
        <v>356</v>
      </c>
      <c r="C8" s="9" t="s">
        <v>950</v>
      </c>
      <c r="D8" s="4"/>
      <c r="E8" s="4"/>
      <c r="F8" s="4"/>
    </row>
    <row r="9" ht="57.0" customHeight="1">
      <c r="A9" s="6" t="s">
        <v>951</v>
      </c>
      <c r="B9" s="9" t="s">
        <v>137</v>
      </c>
      <c r="C9" s="6" t="s">
        <v>952</v>
      </c>
      <c r="D9" s="4"/>
      <c r="E9" s="4"/>
      <c r="F9" s="4"/>
    </row>
    <row r="10" ht="42.0" customHeight="1">
      <c r="A10" s="21" t="s">
        <v>951</v>
      </c>
      <c r="B10" s="21" t="s">
        <v>953</v>
      </c>
      <c r="C10" s="21" t="s">
        <v>954</v>
      </c>
      <c r="D10" s="4"/>
      <c r="E10" s="4"/>
      <c r="F10" s="4"/>
    </row>
    <row r="11" ht="66.0" customHeight="1">
      <c r="A11" s="21" t="s">
        <v>955</v>
      </c>
      <c r="B11" s="21" t="s">
        <v>956</v>
      </c>
      <c r="C11" s="21" t="s">
        <v>957</v>
      </c>
      <c r="D11" s="4"/>
      <c r="E11" s="4"/>
      <c r="F11" s="4"/>
    </row>
    <row r="12" ht="57.0" customHeight="1">
      <c r="A12" s="21" t="s">
        <v>958</v>
      </c>
      <c r="B12" s="21" t="s">
        <v>959</v>
      </c>
      <c r="C12" s="21" t="s">
        <v>960</v>
      </c>
      <c r="D12" s="4"/>
      <c r="E12" s="4"/>
      <c r="F12" s="4"/>
    </row>
    <row r="13" ht="42.0" customHeight="1">
      <c r="A13" s="21" t="s">
        <v>961</v>
      </c>
      <c r="B13" s="21" t="s">
        <v>962</v>
      </c>
      <c r="C13" s="21" t="s">
        <v>963</v>
      </c>
      <c r="D13" s="4"/>
      <c r="E13" s="4"/>
      <c r="F13" s="4"/>
    </row>
    <row r="14" ht="42.0" customHeight="1">
      <c r="A14" s="21" t="s">
        <v>964</v>
      </c>
      <c r="B14" s="21" t="s">
        <v>965</v>
      </c>
      <c r="C14" s="21" t="s">
        <v>966</v>
      </c>
      <c r="D14" s="4"/>
      <c r="E14" s="4"/>
      <c r="F14" s="4"/>
    </row>
    <row r="15" ht="42.0" customHeight="1">
      <c r="A15" s="21" t="s">
        <v>967</v>
      </c>
      <c r="B15" s="21" t="s">
        <v>968</v>
      </c>
      <c r="C15" s="21" t="s">
        <v>969</v>
      </c>
      <c r="D15" s="4"/>
      <c r="E15" s="4"/>
      <c r="F15" s="4"/>
    </row>
    <row r="16" ht="81.0" customHeight="1">
      <c r="A16" s="21" t="s">
        <v>970</v>
      </c>
      <c r="B16" s="21" t="s">
        <v>971</v>
      </c>
      <c r="C16" s="21" t="s">
        <v>972</v>
      </c>
      <c r="D16" s="4"/>
      <c r="E16" s="4"/>
      <c r="F16" s="4"/>
    </row>
    <row r="17" ht="57.0" customHeight="1">
      <c r="A17" s="21" t="s">
        <v>199</v>
      </c>
      <c r="B17" s="21" t="s">
        <v>973</v>
      </c>
      <c r="C17" s="21" t="s">
        <v>974</v>
      </c>
      <c r="D17" s="4"/>
      <c r="E17" s="4"/>
      <c r="F17" s="4"/>
    </row>
    <row r="18" ht="66.0" customHeight="1">
      <c r="A18" s="21" t="s">
        <v>975</v>
      </c>
      <c r="B18" s="21" t="s">
        <v>976</v>
      </c>
      <c r="C18" s="21" t="s">
        <v>977</v>
      </c>
      <c r="D18" s="4"/>
      <c r="E18" s="4"/>
      <c r="F18" s="4"/>
    </row>
    <row r="19" ht="42.0" customHeight="1">
      <c r="A19" s="21" t="s">
        <v>978</v>
      </c>
      <c r="B19" s="21" t="s">
        <v>979</v>
      </c>
      <c r="C19" s="21" t="s">
        <v>980</v>
      </c>
      <c r="D19" s="4"/>
      <c r="E19" s="4"/>
      <c r="F19" s="4"/>
    </row>
    <row r="20" ht="66.0" customHeight="1">
      <c r="A20" s="21" t="s">
        <v>981</v>
      </c>
      <c r="B20" s="21" t="s">
        <v>982</v>
      </c>
      <c r="C20" s="21" t="s">
        <v>983</v>
      </c>
      <c r="D20" s="4"/>
      <c r="E20" s="4"/>
      <c r="F20" s="4"/>
    </row>
    <row r="21" ht="66.0" customHeight="1">
      <c r="A21" s="21" t="s">
        <v>984</v>
      </c>
      <c r="B21" s="21" t="s">
        <v>985</v>
      </c>
      <c r="C21" s="21" t="s">
        <v>986</v>
      </c>
      <c r="D21" s="4"/>
      <c r="E21" s="4"/>
      <c r="F21" s="4"/>
    </row>
    <row r="22" ht="42.0" customHeight="1">
      <c r="A22" s="21" t="s">
        <v>987</v>
      </c>
      <c r="B22" s="21" t="s">
        <v>988</v>
      </c>
      <c r="C22" s="21" t="s">
        <v>989</v>
      </c>
      <c r="D22" s="4"/>
      <c r="E22" s="4"/>
      <c r="F22" s="4"/>
    </row>
    <row r="23" ht="57.0" customHeight="1">
      <c r="A23" s="21" t="s">
        <v>990</v>
      </c>
      <c r="B23" s="21" t="s">
        <v>991</v>
      </c>
      <c r="C23" s="21" t="s">
        <v>992</v>
      </c>
      <c r="D23" s="4"/>
      <c r="E23" s="4"/>
      <c r="F23" s="4"/>
    </row>
    <row r="24" ht="66.0" customHeight="1">
      <c r="A24" s="21" t="s">
        <v>993</v>
      </c>
      <c r="B24" s="21" t="s">
        <v>994</v>
      </c>
      <c r="C24" s="21" t="s">
        <v>995</v>
      </c>
      <c r="D24" s="4"/>
      <c r="E24" s="4"/>
      <c r="F24" s="4"/>
    </row>
    <row r="25" ht="42.0" customHeight="1">
      <c r="A25" s="21" t="s">
        <v>996</v>
      </c>
      <c r="B25" s="21" t="s">
        <v>997</v>
      </c>
      <c r="C25" s="21" t="s">
        <v>998</v>
      </c>
      <c r="D25" s="4"/>
      <c r="E25" s="4"/>
      <c r="F25" s="4"/>
    </row>
    <row r="26" ht="42.0" customHeight="1">
      <c r="A26" s="21" t="s">
        <v>999</v>
      </c>
      <c r="B26" s="21" t="s">
        <v>1000</v>
      </c>
      <c r="C26" s="21" t="s">
        <v>1001</v>
      </c>
      <c r="D26" s="4"/>
      <c r="E26" s="4"/>
      <c r="F26" s="4"/>
    </row>
    <row r="27" ht="51.0" customHeight="1">
      <c r="A27" s="21" t="s">
        <v>1002</v>
      </c>
      <c r="B27" s="21" t="s">
        <v>1003</v>
      </c>
      <c r="C27" s="21" t="s">
        <v>1004</v>
      </c>
      <c r="D27" s="4"/>
      <c r="E27" s="4"/>
      <c r="F27" s="4"/>
    </row>
    <row r="28" ht="51.0" customHeight="1">
      <c r="A28" s="21" t="s">
        <v>1005</v>
      </c>
      <c r="B28" s="21" t="s">
        <v>1006</v>
      </c>
      <c r="C28" s="21" t="s">
        <v>1007</v>
      </c>
      <c r="D28" s="4"/>
      <c r="E28" s="4"/>
      <c r="F28" s="4"/>
    </row>
    <row r="29" ht="15.75" customHeight="1">
      <c r="A29" s="4"/>
      <c r="B29" s="4"/>
      <c r="C29" s="4"/>
      <c r="D29" s="4"/>
      <c r="E29" s="4"/>
      <c r="F29" s="4"/>
    </row>
    <row r="30" ht="15.75" customHeight="1">
      <c r="A30" s="4"/>
      <c r="B30" s="4"/>
      <c r="C30" s="4"/>
      <c r="D30" s="4"/>
      <c r="E30" s="4"/>
      <c r="F30" s="4"/>
    </row>
    <row r="31" ht="15.75" customHeight="1">
      <c r="A31" s="4"/>
      <c r="B31" s="4"/>
      <c r="C31" s="4"/>
      <c r="D31" s="4"/>
      <c r="E31" s="4"/>
      <c r="F31" s="4"/>
    </row>
    <row r="32" ht="15.75" customHeight="1">
      <c r="A32" s="4"/>
      <c r="B32" s="4"/>
      <c r="C32" s="4"/>
      <c r="D32" s="4"/>
      <c r="E32" s="4"/>
      <c r="F32" s="4"/>
    </row>
    <row r="33" ht="15.75" customHeight="1">
      <c r="A33" s="4"/>
      <c r="B33" s="4"/>
      <c r="C33" s="4"/>
      <c r="D33" s="4"/>
      <c r="E33" s="4"/>
      <c r="F33" s="4"/>
    </row>
    <row r="34" ht="15.75" customHeight="1">
      <c r="A34" s="4"/>
      <c r="B34" s="4"/>
      <c r="C34" s="4"/>
      <c r="D34" s="4"/>
      <c r="E34" s="4"/>
      <c r="F34" s="4"/>
    </row>
    <row r="35" ht="15.75" customHeight="1">
      <c r="A35" s="4"/>
      <c r="B35" s="4"/>
      <c r="C35" s="4"/>
      <c r="D35" s="4"/>
      <c r="E35" s="4"/>
      <c r="F35" s="4"/>
    </row>
    <row r="36" ht="15.75" customHeight="1">
      <c r="A36" s="4"/>
      <c r="B36" s="4"/>
      <c r="C36" s="4"/>
      <c r="D36" s="4"/>
      <c r="E36" s="4"/>
      <c r="F36" s="4"/>
    </row>
    <row r="37" ht="15.75" customHeight="1">
      <c r="A37" s="4"/>
      <c r="B37" s="4"/>
      <c r="C37" s="4"/>
      <c r="D37" s="4"/>
      <c r="E37" s="4"/>
      <c r="F37" s="4"/>
    </row>
    <row r="38" ht="15.75" customHeight="1">
      <c r="A38" s="4"/>
      <c r="B38" s="4"/>
      <c r="C38" s="4"/>
      <c r="D38" s="4"/>
      <c r="E38" s="4"/>
      <c r="F38" s="4"/>
    </row>
    <row r="39" ht="15.75" customHeight="1">
      <c r="A39" s="4"/>
      <c r="B39" s="4"/>
      <c r="C39" s="4"/>
      <c r="D39" s="4"/>
      <c r="E39" s="4"/>
      <c r="F39" s="4"/>
    </row>
    <row r="40" ht="15.75" customHeight="1">
      <c r="A40" s="4"/>
      <c r="B40" s="4"/>
      <c r="C40" s="4"/>
      <c r="D40" s="4"/>
      <c r="E40" s="4"/>
      <c r="F40" s="4"/>
    </row>
    <row r="41" ht="15.75" customHeight="1">
      <c r="A41" s="4"/>
      <c r="B41" s="4"/>
      <c r="C41" s="4"/>
      <c r="D41" s="4"/>
      <c r="E41" s="4"/>
      <c r="F41" s="4"/>
    </row>
    <row r="42" ht="15.75" customHeight="1">
      <c r="A42" s="4"/>
      <c r="B42" s="4"/>
      <c r="C42" s="4"/>
      <c r="D42" s="4"/>
      <c r="E42" s="4"/>
      <c r="F42" s="4"/>
    </row>
    <row r="43" ht="15.75" customHeight="1">
      <c r="A43" s="4"/>
      <c r="B43" s="4"/>
      <c r="C43" s="4"/>
      <c r="D43" s="4"/>
      <c r="E43" s="4"/>
      <c r="F43" s="4"/>
    </row>
    <row r="44" ht="15.75" customHeight="1">
      <c r="A44" s="4"/>
      <c r="B44" s="4"/>
      <c r="C44" s="4"/>
      <c r="D44" s="4"/>
      <c r="E44" s="4"/>
      <c r="F44" s="4"/>
    </row>
    <row r="45" ht="15.75" customHeight="1">
      <c r="A45" s="4"/>
      <c r="B45" s="4"/>
      <c r="C45" s="4"/>
      <c r="D45" s="4"/>
      <c r="E45" s="4"/>
      <c r="F45" s="4"/>
    </row>
    <row r="46" ht="15.75" customHeight="1">
      <c r="A46" s="4"/>
      <c r="B46" s="4"/>
      <c r="C46" s="4"/>
      <c r="D46" s="4"/>
      <c r="E46" s="4"/>
      <c r="F46" s="4"/>
    </row>
    <row r="47" ht="15.75" customHeight="1">
      <c r="A47" s="4"/>
      <c r="B47" s="4"/>
      <c r="C47" s="4"/>
      <c r="D47" s="4"/>
      <c r="E47" s="4"/>
      <c r="F47" s="4"/>
    </row>
    <row r="48" ht="15.75" customHeight="1">
      <c r="A48" s="4"/>
      <c r="B48" s="4"/>
      <c r="C48" s="4"/>
      <c r="D48" s="4"/>
      <c r="E48" s="4"/>
      <c r="F48" s="4"/>
    </row>
    <row r="49" ht="15.75" customHeight="1">
      <c r="A49" s="4"/>
      <c r="B49" s="4"/>
      <c r="C49" s="4"/>
      <c r="D49" s="4"/>
      <c r="E49" s="4"/>
      <c r="F49" s="4"/>
    </row>
    <row r="50" ht="15.75" customHeight="1">
      <c r="A50" s="4"/>
      <c r="B50" s="4"/>
      <c r="C50" s="4"/>
      <c r="D50" s="4"/>
      <c r="E50" s="4"/>
      <c r="F50" s="4"/>
    </row>
    <row r="51" ht="15.75" customHeight="1">
      <c r="A51" s="4"/>
      <c r="B51" s="4"/>
      <c r="C51" s="4"/>
      <c r="D51" s="4"/>
      <c r="E51" s="4"/>
      <c r="F51" s="4"/>
    </row>
    <row r="52" ht="15.75" customHeight="1">
      <c r="A52" s="4"/>
      <c r="B52" s="4"/>
      <c r="C52" s="4"/>
      <c r="D52" s="4"/>
      <c r="E52" s="4"/>
      <c r="F52" s="4"/>
    </row>
    <row r="53" ht="15.75" customHeight="1">
      <c r="A53" s="4"/>
      <c r="B53" s="4"/>
      <c r="C53" s="4"/>
      <c r="D53" s="4"/>
      <c r="E53" s="4"/>
      <c r="F53" s="4"/>
    </row>
    <row r="54" ht="15.75" customHeight="1">
      <c r="A54" s="4"/>
      <c r="B54" s="4"/>
      <c r="C54" s="4"/>
      <c r="D54" s="4"/>
      <c r="E54" s="4"/>
      <c r="F54" s="4"/>
    </row>
    <row r="55" ht="15.75" customHeight="1">
      <c r="A55" s="4"/>
      <c r="B55" s="4"/>
      <c r="C55" s="4"/>
      <c r="D55" s="4"/>
      <c r="E55" s="4"/>
      <c r="F55" s="4"/>
    </row>
    <row r="56" ht="15.75" customHeight="1">
      <c r="A56" s="4"/>
      <c r="B56" s="4"/>
      <c r="C56" s="4"/>
      <c r="D56" s="4"/>
      <c r="E56" s="4"/>
      <c r="F56" s="4"/>
    </row>
    <row r="57" ht="15.75" customHeight="1">
      <c r="A57" s="4"/>
      <c r="B57" s="4"/>
      <c r="C57" s="4"/>
      <c r="D57" s="4"/>
      <c r="E57" s="4"/>
      <c r="F57" s="4"/>
    </row>
    <row r="58" ht="15.75" customHeight="1">
      <c r="A58" s="4"/>
      <c r="B58" s="4"/>
      <c r="C58" s="4"/>
      <c r="D58" s="4"/>
      <c r="E58" s="4"/>
      <c r="F58" s="4"/>
    </row>
    <row r="59" ht="15.75" customHeight="1">
      <c r="A59" s="4"/>
      <c r="B59" s="4"/>
      <c r="C59" s="4"/>
      <c r="D59" s="4"/>
      <c r="E59" s="4"/>
      <c r="F59" s="4"/>
    </row>
    <row r="60" ht="15.75" customHeight="1">
      <c r="A60" s="4"/>
      <c r="B60" s="4"/>
      <c r="C60" s="4"/>
      <c r="D60" s="4"/>
      <c r="E60" s="4"/>
      <c r="F60" s="4"/>
    </row>
    <row r="61" ht="15.75" customHeight="1">
      <c r="A61" s="4"/>
      <c r="B61" s="4"/>
      <c r="C61" s="4"/>
      <c r="D61" s="4"/>
      <c r="E61" s="4"/>
      <c r="F61" s="4"/>
    </row>
    <row r="62" ht="15.75" customHeight="1">
      <c r="A62" s="4"/>
      <c r="B62" s="4"/>
      <c r="C62" s="4"/>
      <c r="D62" s="4"/>
      <c r="E62" s="4"/>
      <c r="F62" s="4"/>
    </row>
    <row r="63" ht="15.75" customHeight="1">
      <c r="A63" s="4"/>
      <c r="B63" s="4"/>
      <c r="C63" s="4"/>
      <c r="D63" s="4"/>
      <c r="E63" s="4"/>
      <c r="F63" s="4"/>
    </row>
    <row r="64" ht="15.75" customHeight="1">
      <c r="A64" s="4"/>
      <c r="B64" s="4"/>
      <c r="C64" s="4"/>
      <c r="D64" s="4"/>
      <c r="E64" s="4"/>
      <c r="F64" s="4"/>
    </row>
    <row r="65" ht="15.75" customHeight="1">
      <c r="A65" s="4"/>
      <c r="B65" s="4"/>
      <c r="C65" s="4"/>
      <c r="D65" s="4"/>
      <c r="E65" s="4"/>
      <c r="F65" s="4"/>
    </row>
    <row r="66" ht="15.75" customHeight="1">
      <c r="A66" s="4"/>
      <c r="B66" s="4"/>
      <c r="C66" s="4"/>
      <c r="D66" s="4"/>
      <c r="E66" s="4"/>
      <c r="F66" s="4"/>
    </row>
    <row r="67" ht="15.75" customHeight="1">
      <c r="A67" s="4"/>
      <c r="B67" s="4"/>
      <c r="C67" s="4"/>
      <c r="D67" s="4"/>
      <c r="E67" s="4"/>
      <c r="F67" s="4"/>
    </row>
    <row r="68" ht="15.75" customHeight="1">
      <c r="A68" s="4"/>
      <c r="B68" s="4"/>
      <c r="C68" s="4"/>
      <c r="D68" s="4"/>
      <c r="E68" s="4"/>
      <c r="F68" s="4"/>
    </row>
    <row r="69" ht="15.75" customHeight="1">
      <c r="A69" s="4"/>
      <c r="B69" s="4"/>
      <c r="C69" s="4"/>
      <c r="D69" s="4"/>
      <c r="E69" s="4"/>
      <c r="F69" s="4"/>
    </row>
    <row r="70" ht="15.75" customHeight="1">
      <c r="A70" s="4"/>
      <c r="B70" s="4"/>
      <c r="C70" s="4"/>
      <c r="D70" s="4"/>
      <c r="E70" s="4"/>
      <c r="F70" s="4"/>
    </row>
    <row r="71" ht="15.75" customHeight="1">
      <c r="A71" s="4"/>
      <c r="B71" s="4"/>
      <c r="C71" s="4"/>
      <c r="D71" s="4"/>
      <c r="E71" s="4"/>
      <c r="F71" s="4"/>
    </row>
    <row r="72" ht="15.75" customHeight="1">
      <c r="A72" s="4"/>
      <c r="B72" s="4"/>
      <c r="C72" s="4"/>
      <c r="D72" s="4"/>
      <c r="E72" s="4"/>
      <c r="F72" s="4"/>
    </row>
    <row r="73" ht="15.75" customHeight="1">
      <c r="A73" s="4"/>
      <c r="B73" s="4"/>
      <c r="C73" s="4"/>
      <c r="D73" s="4"/>
      <c r="E73" s="4"/>
      <c r="F73" s="4"/>
    </row>
    <row r="74" ht="15.75" customHeight="1">
      <c r="A74" s="4"/>
      <c r="B74" s="4"/>
      <c r="C74" s="4"/>
      <c r="D74" s="4"/>
      <c r="E74" s="4"/>
      <c r="F74" s="4"/>
    </row>
    <row r="75" ht="15.75" customHeight="1">
      <c r="A75" s="4"/>
      <c r="B75" s="4"/>
      <c r="C75" s="4"/>
      <c r="D75" s="4"/>
      <c r="E75" s="4"/>
      <c r="F75" s="4"/>
    </row>
    <row r="76" ht="15.75" customHeight="1">
      <c r="A76" s="4"/>
      <c r="B76" s="4"/>
      <c r="C76" s="4"/>
      <c r="D76" s="4"/>
      <c r="E76" s="4"/>
      <c r="F76" s="4"/>
    </row>
    <row r="77" ht="15.75" customHeight="1">
      <c r="A77" s="4"/>
      <c r="B77" s="4"/>
      <c r="C77" s="4"/>
      <c r="D77" s="4"/>
      <c r="E77" s="4"/>
      <c r="F77" s="4"/>
    </row>
    <row r="78" ht="15.75" customHeight="1">
      <c r="A78" s="4"/>
      <c r="B78" s="4"/>
      <c r="C78" s="4"/>
      <c r="D78" s="4"/>
      <c r="E78" s="4"/>
      <c r="F78" s="4"/>
    </row>
    <row r="79" ht="15.75" customHeight="1">
      <c r="A79" s="4"/>
      <c r="B79" s="4"/>
      <c r="C79" s="4"/>
      <c r="D79" s="4"/>
      <c r="E79" s="4"/>
      <c r="F79" s="4"/>
    </row>
    <row r="80" ht="15.75" customHeight="1">
      <c r="A80" s="4"/>
      <c r="B80" s="4"/>
      <c r="C80" s="4"/>
      <c r="D80" s="4"/>
      <c r="E80" s="4"/>
      <c r="F80" s="4"/>
    </row>
    <row r="81" ht="15.75" customHeight="1">
      <c r="A81" s="4"/>
      <c r="B81" s="4"/>
      <c r="C81" s="4"/>
      <c r="D81" s="4"/>
      <c r="E81" s="4"/>
      <c r="F81" s="4"/>
    </row>
    <row r="82" ht="15.75" customHeight="1">
      <c r="A82" s="4"/>
      <c r="B82" s="4"/>
      <c r="C82" s="4"/>
      <c r="D82" s="4"/>
      <c r="E82" s="4"/>
      <c r="F82" s="4"/>
    </row>
    <row r="83" ht="15.75" customHeight="1">
      <c r="A83" s="4"/>
      <c r="B83" s="4"/>
      <c r="C83" s="4"/>
      <c r="D83" s="4"/>
      <c r="E83" s="4"/>
      <c r="F83" s="4"/>
    </row>
    <row r="84" ht="15.75" customHeight="1">
      <c r="A84" s="4"/>
      <c r="B84" s="4"/>
      <c r="C84" s="4"/>
      <c r="D84" s="4"/>
      <c r="E84" s="4"/>
      <c r="F84" s="4"/>
    </row>
    <row r="85" ht="15.75" customHeight="1">
      <c r="A85" s="4"/>
      <c r="B85" s="4"/>
      <c r="C85" s="4"/>
      <c r="D85" s="4"/>
      <c r="E85" s="4"/>
      <c r="F85" s="4"/>
    </row>
    <row r="86" ht="15.75" customHeight="1">
      <c r="A86" s="4"/>
      <c r="B86" s="4"/>
      <c r="C86" s="4"/>
      <c r="D86" s="4"/>
      <c r="E86" s="4"/>
      <c r="F86" s="4"/>
    </row>
    <row r="87" ht="15.75" customHeight="1">
      <c r="A87" s="4"/>
      <c r="B87" s="4"/>
      <c r="C87" s="4"/>
      <c r="D87" s="4"/>
      <c r="E87" s="4"/>
      <c r="F87" s="4"/>
    </row>
    <row r="88" ht="15.75" customHeight="1">
      <c r="A88" s="4"/>
      <c r="B88" s="4"/>
      <c r="C88" s="4"/>
      <c r="D88" s="4"/>
      <c r="E88" s="4"/>
      <c r="F88" s="4"/>
    </row>
    <row r="89" ht="15.75" customHeight="1">
      <c r="A89" s="4"/>
      <c r="B89" s="4"/>
      <c r="C89" s="4"/>
      <c r="D89" s="4"/>
      <c r="E89" s="4"/>
      <c r="F89" s="4"/>
    </row>
    <row r="90" ht="15.75" customHeight="1">
      <c r="A90" s="4"/>
      <c r="B90" s="4"/>
      <c r="C90" s="4"/>
      <c r="D90" s="4"/>
      <c r="E90" s="4"/>
      <c r="F90" s="4"/>
    </row>
    <row r="91" ht="15.75" customHeight="1">
      <c r="A91" s="4"/>
      <c r="B91" s="4"/>
      <c r="C91" s="4"/>
      <c r="D91" s="4"/>
      <c r="E91" s="4"/>
      <c r="F91" s="4"/>
    </row>
    <row r="92" ht="15.75" customHeight="1">
      <c r="A92" s="4"/>
      <c r="B92" s="4"/>
      <c r="C92" s="4"/>
      <c r="D92" s="4"/>
      <c r="E92" s="4"/>
      <c r="F92" s="4"/>
    </row>
    <row r="93" ht="15.75" customHeight="1">
      <c r="A93" s="4"/>
      <c r="B93" s="4"/>
      <c r="C93" s="4"/>
      <c r="D93" s="4"/>
      <c r="E93" s="4"/>
      <c r="F93" s="4"/>
    </row>
    <row r="94" ht="15.75" customHeight="1">
      <c r="A94" s="4"/>
      <c r="B94" s="4"/>
      <c r="C94" s="4"/>
      <c r="D94" s="4"/>
      <c r="E94" s="4"/>
      <c r="F94" s="4"/>
    </row>
    <row r="95" ht="15.75" customHeight="1">
      <c r="A95" s="4"/>
      <c r="B95" s="4"/>
      <c r="C95" s="4"/>
      <c r="D95" s="4"/>
      <c r="E95" s="4"/>
      <c r="F95" s="4"/>
    </row>
    <row r="96" ht="15.75" customHeight="1">
      <c r="A96" s="4"/>
      <c r="B96" s="4"/>
      <c r="C96" s="4"/>
      <c r="D96" s="4"/>
      <c r="E96" s="4"/>
      <c r="F96" s="4"/>
    </row>
    <row r="97" ht="15.75" customHeight="1">
      <c r="A97" s="4"/>
      <c r="B97" s="4"/>
      <c r="C97" s="4"/>
      <c r="D97" s="4"/>
      <c r="E97" s="4"/>
      <c r="F97" s="4"/>
    </row>
    <row r="98" ht="15.75" customHeight="1">
      <c r="A98" s="4"/>
      <c r="B98" s="4"/>
      <c r="C98" s="4"/>
      <c r="D98" s="4"/>
      <c r="E98" s="4"/>
      <c r="F98" s="4"/>
    </row>
    <row r="99" ht="15.75" customHeight="1">
      <c r="A99" s="4"/>
      <c r="B99" s="4"/>
      <c r="C99" s="4"/>
      <c r="D99" s="4"/>
      <c r="E99" s="4"/>
      <c r="F99" s="4"/>
    </row>
    <row r="100" ht="15.75" customHeight="1">
      <c r="A100" s="4"/>
      <c r="B100" s="4"/>
      <c r="C100" s="4"/>
      <c r="D100" s="4"/>
      <c r="E100" s="4"/>
      <c r="F100" s="4"/>
    </row>
    <row r="101" ht="15.75" customHeight="1">
      <c r="A101" s="4"/>
      <c r="B101" s="4"/>
      <c r="C101" s="4"/>
      <c r="D101" s="4"/>
      <c r="E101" s="4"/>
      <c r="F101" s="4"/>
    </row>
    <row r="102" ht="15.75" customHeight="1">
      <c r="A102" s="4"/>
      <c r="B102" s="4"/>
      <c r="C102" s="4"/>
      <c r="D102" s="4"/>
      <c r="E102" s="4"/>
      <c r="F102" s="4"/>
    </row>
    <row r="103" ht="15.75" customHeight="1">
      <c r="A103" s="4"/>
      <c r="B103" s="4"/>
      <c r="C103" s="4"/>
      <c r="D103" s="4"/>
      <c r="E103" s="4"/>
      <c r="F103" s="4"/>
    </row>
    <row r="104" ht="15.75" customHeight="1">
      <c r="A104" s="4"/>
      <c r="B104" s="4"/>
      <c r="C104" s="4"/>
      <c r="D104" s="4"/>
      <c r="E104" s="4"/>
      <c r="F104" s="4"/>
    </row>
    <row r="105" ht="15.75" customHeight="1">
      <c r="A105" s="4"/>
      <c r="B105" s="4"/>
      <c r="C105" s="4"/>
      <c r="D105" s="4"/>
      <c r="E105" s="4"/>
      <c r="F105" s="4"/>
    </row>
    <row r="106" ht="15.75" customHeight="1">
      <c r="A106" s="4"/>
      <c r="B106" s="4"/>
      <c r="C106" s="4"/>
      <c r="D106" s="4"/>
      <c r="E106" s="4"/>
      <c r="F106" s="4"/>
    </row>
    <row r="107" ht="15.75" customHeight="1">
      <c r="A107" s="4"/>
      <c r="B107" s="4"/>
      <c r="C107" s="4"/>
      <c r="D107" s="4"/>
      <c r="E107" s="4"/>
      <c r="F107" s="4"/>
    </row>
    <row r="108" ht="15.75" customHeight="1">
      <c r="A108" s="4"/>
      <c r="B108" s="4"/>
      <c r="C108" s="4"/>
      <c r="D108" s="4"/>
      <c r="E108" s="4"/>
      <c r="F108" s="4"/>
    </row>
    <row r="109" ht="15.75" customHeight="1">
      <c r="A109" s="4"/>
      <c r="B109" s="4"/>
      <c r="C109" s="4"/>
      <c r="D109" s="4"/>
      <c r="E109" s="4"/>
      <c r="F109" s="4"/>
    </row>
    <row r="110" ht="15.75" customHeight="1">
      <c r="A110" s="4"/>
      <c r="B110" s="4"/>
      <c r="C110" s="4"/>
      <c r="D110" s="4"/>
      <c r="E110" s="4"/>
      <c r="F110" s="4"/>
    </row>
    <row r="111" ht="15.75" customHeight="1">
      <c r="A111" s="4"/>
      <c r="B111" s="4"/>
      <c r="C111" s="4"/>
      <c r="D111" s="4"/>
      <c r="E111" s="4"/>
      <c r="F111" s="4"/>
    </row>
    <row r="112" ht="15.75" customHeight="1">
      <c r="A112" s="4"/>
      <c r="B112" s="4"/>
      <c r="C112" s="4"/>
      <c r="D112" s="4"/>
      <c r="E112" s="4"/>
      <c r="F112" s="4"/>
    </row>
    <row r="113" ht="15.75" customHeight="1">
      <c r="A113" s="4"/>
      <c r="B113" s="4"/>
      <c r="C113" s="4"/>
      <c r="D113" s="4"/>
      <c r="E113" s="4"/>
      <c r="F113" s="4"/>
    </row>
    <row r="114" ht="15.75" customHeight="1">
      <c r="A114" s="4"/>
      <c r="B114" s="4"/>
      <c r="C114" s="4"/>
      <c r="D114" s="4"/>
      <c r="E114" s="4"/>
      <c r="F114" s="4"/>
    </row>
    <row r="115" ht="15.75" customHeight="1">
      <c r="A115" s="4"/>
      <c r="B115" s="4"/>
      <c r="C115" s="4"/>
      <c r="D115" s="4"/>
      <c r="E115" s="4"/>
      <c r="F115" s="4"/>
    </row>
    <row r="116" ht="15.75" customHeight="1">
      <c r="A116" s="4"/>
      <c r="B116" s="4"/>
      <c r="C116" s="4"/>
      <c r="D116" s="4"/>
      <c r="E116" s="4"/>
      <c r="F116" s="4"/>
    </row>
    <row r="117" ht="15.75" customHeight="1">
      <c r="A117" s="4"/>
      <c r="B117" s="4"/>
      <c r="C117" s="4"/>
      <c r="D117" s="4"/>
      <c r="E117" s="4"/>
      <c r="F117" s="4"/>
    </row>
    <row r="118" ht="15.75" customHeight="1">
      <c r="A118" s="4"/>
      <c r="B118" s="4"/>
      <c r="C118" s="4"/>
      <c r="D118" s="4"/>
      <c r="E118" s="4"/>
      <c r="F118" s="4"/>
    </row>
    <row r="119" ht="15.75" customHeight="1">
      <c r="A119" s="4"/>
      <c r="B119" s="4"/>
      <c r="C119" s="4"/>
      <c r="D119" s="4"/>
      <c r="E119" s="4"/>
      <c r="F119" s="4"/>
    </row>
    <row r="120" ht="15.75" customHeight="1">
      <c r="A120" s="4"/>
      <c r="B120" s="4"/>
      <c r="C120" s="4"/>
      <c r="D120" s="4"/>
      <c r="E120" s="4"/>
      <c r="F120" s="4"/>
    </row>
    <row r="121" ht="15.75" customHeight="1">
      <c r="A121" s="4"/>
      <c r="B121" s="4"/>
      <c r="C121" s="4"/>
      <c r="D121" s="4"/>
      <c r="E121" s="4"/>
      <c r="F121" s="4"/>
    </row>
    <row r="122" ht="15.75" customHeight="1">
      <c r="A122" s="4"/>
      <c r="B122" s="4"/>
      <c r="C122" s="4"/>
      <c r="D122" s="4"/>
      <c r="E122" s="4"/>
      <c r="F122" s="4"/>
    </row>
    <row r="123" ht="15.75" customHeight="1">
      <c r="A123" s="4"/>
      <c r="B123" s="4"/>
      <c r="C123" s="4"/>
      <c r="D123" s="4"/>
      <c r="E123" s="4"/>
      <c r="F123" s="4"/>
    </row>
    <row r="124" ht="15.75" customHeight="1">
      <c r="A124" s="4"/>
      <c r="B124" s="4"/>
      <c r="C124" s="4"/>
      <c r="D124" s="4"/>
      <c r="E124" s="4"/>
      <c r="F124" s="4"/>
    </row>
    <row r="125" ht="15.75" customHeight="1">
      <c r="A125" s="4"/>
      <c r="B125" s="4"/>
      <c r="C125" s="4"/>
      <c r="D125" s="4"/>
      <c r="E125" s="4"/>
      <c r="F125" s="4"/>
    </row>
    <row r="126" ht="15.75" customHeight="1">
      <c r="A126" s="4"/>
      <c r="B126" s="4"/>
      <c r="C126" s="4"/>
      <c r="D126" s="4"/>
      <c r="E126" s="4"/>
      <c r="F126" s="4"/>
    </row>
    <row r="127" ht="15.75" customHeight="1">
      <c r="A127" s="4"/>
      <c r="B127" s="4"/>
      <c r="C127" s="4"/>
      <c r="D127" s="4"/>
      <c r="E127" s="4"/>
      <c r="F127" s="4"/>
    </row>
    <row r="128" ht="15.75" customHeight="1">
      <c r="A128" s="4"/>
      <c r="B128" s="4"/>
      <c r="C128" s="4"/>
      <c r="D128" s="4"/>
      <c r="E128" s="4"/>
      <c r="F128" s="4"/>
    </row>
    <row r="129" ht="15.75" customHeight="1">
      <c r="A129" s="4"/>
      <c r="B129" s="4"/>
      <c r="C129" s="4"/>
      <c r="D129" s="4"/>
      <c r="E129" s="4"/>
      <c r="F129" s="4"/>
    </row>
    <row r="130" ht="15.75" customHeight="1">
      <c r="A130" s="4"/>
      <c r="B130" s="4"/>
      <c r="C130" s="4"/>
      <c r="D130" s="4"/>
      <c r="E130" s="4"/>
      <c r="F130" s="4"/>
    </row>
    <row r="131" ht="15.75" customHeight="1">
      <c r="A131" s="4"/>
      <c r="B131" s="4"/>
      <c r="C131" s="4"/>
      <c r="D131" s="4"/>
      <c r="E131" s="4"/>
      <c r="F131" s="4"/>
    </row>
    <row r="132" ht="15.75" customHeight="1">
      <c r="A132" s="4"/>
      <c r="B132" s="4"/>
      <c r="C132" s="4"/>
      <c r="D132" s="4"/>
      <c r="E132" s="4"/>
      <c r="F132" s="4"/>
    </row>
    <row r="133" ht="15.75" customHeight="1">
      <c r="A133" s="4"/>
      <c r="B133" s="4"/>
      <c r="C133" s="4"/>
      <c r="D133" s="4"/>
      <c r="E133" s="4"/>
      <c r="F133" s="4"/>
    </row>
    <row r="134" ht="15.75" customHeight="1">
      <c r="A134" s="4"/>
      <c r="B134" s="4"/>
      <c r="C134" s="4"/>
      <c r="D134" s="4"/>
      <c r="E134" s="4"/>
      <c r="F134" s="4"/>
    </row>
    <row r="135" ht="15.75" customHeight="1">
      <c r="A135" s="4"/>
      <c r="B135" s="4"/>
      <c r="C135" s="4"/>
      <c r="D135" s="4"/>
      <c r="E135" s="4"/>
      <c r="F135" s="4"/>
    </row>
    <row r="136" ht="15.75" customHeight="1">
      <c r="A136" s="4"/>
      <c r="B136" s="4"/>
      <c r="C136" s="4"/>
      <c r="D136" s="4"/>
      <c r="E136" s="4"/>
      <c r="F136" s="4"/>
    </row>
    <row r="137" ht="15.75" customHeight="1">
      <c r="A137" s="4"/>
      <c r="B137" s="4"/>
      <c r="C137" s="4"/>
      <c r="D137" s="4"/>
      <c r="E137" s="4"/>
      <c r="F137" s="4"/>
    </row>
    <row r="138" ht="15.75" customHeight="1">
      <c r="A138" s="4"/>
      <c r="B138" s="4"/>
      <c r="C138" s="4"/>
      <c r="D138" s="4"/>
      <c r="E138" s="4"/>
      <c r="F138" s="4"/>
    </row>
    <row r="139" ht="15.75" customHeight="1">
      <c r="A139" s="4"/>
      <c r="B139" s="4"/>
      <c r="C139" s="4"/>
      <c r="D139" s="4"/>
      <c r="E139" s="4"/>
      <c r="F139" s="4"/>
    </row>
    <row r="140" ht="15.75" customHeight="1">
      <c r="A140" s="4"/>
      <c r="B140" s="4"/>
      <c r="C140" s="4"/>
      <c r="D140" s="4"/>
      <c r="E140" s="4"/>
      <c r="F140" s="4"/>
    </row>
    <row r="141" ht="15.75" customHeight="1">
      <c r="A141" s="4"/>
      <c r="B141" s="4"/>
      <c r="C141" s="4"/>
      <c r="D141" s="4"/>
      <c r="E141" s="4"/>
      <c r="F141" s="4"/>
    </row>
    <row r="142" ht="15.75" customHeight="1">
      <c r="A142" s="4"/>
      <c r="B142" s="4"/>
      <c r="C142" s="4"/>
      <c r="D142" s="4"/>
      <c r="E142" s="4"/>
      <c r="F142" s="4"/>
    </row>
    <row r="143" ht="15.75" customHeight="1">
      <c r="A143" s="4"/>
      <c r="B143" s="4"/>
      <c r="C143" s="4"/>
      <c r="D143" s="4"/>
      <c r="E143" s="4"/>
      <c r="F143" s="4"/>
    </row>
    <row r="144" ht="15.75" customHeight="1">
      <c r="A144" s="4"/>
      <c r="B144" s="4"/>
      <c r="C144" s="4"/>
      <c r="D144" s="4"/>
      <c r="E144" s="4"/>
      <c r="F144" s="4"/>
    </row>
    <row r="145" ht="15.75" customHeight="1">
      <c r="A145" s="4"/>
      <c r="B145" s="4"/>
      <c r="C145" s="4"/>
      <c r="D145" s="4"/>
      <c r="E145" s="4"/>
      <c r="F145" s="4"/>
    </row>
    <row r="146" ht="15.75" customHeight="1">
      <c r="A146" s="4"/>
      <c r="B146" s="4"/>
      <c r="C146" s="4"/>
      <c r="D146" s="4"/>
      <c r="E146" s="4"/>
      <c r="F146" s="4"/>
    </row>
    <row r="147" ht="15.75" customHeight="1">
      <c r="A147" s="4"/>
      <c r="B147" s="4"/>
      <c r="C147" s="4"/>
      <c r="D147" s="4"/>
      <c r="E147" s="4"/>
      <c r="F147" s="4"/>
    </row>
    <row r="148" ht="15.75" customHeight="1">
      <c r="A148" s="4"/>
      <c r="B148" s="4"/>
      <c r="C148" s="4"/>
      <c r="D148" s="4"/>
      <c r="E148" s="4"/>
      <c r="F148" s="4"/>
    </row>
    <row r="149" ht="15.75" customHeight="1">
      <c r="A149" s="4"/>
      <c r="B149" s="4"/>
      <c r="C149" s="4"/>
      <c r="D149" s="4"/>
      <c r="E149" s="4"/>
      <c r="F149" s="4"/>
    </row>
    <row r="150" ht="15.75" customHeight="1">
      <c r="A150" s="4"/>
      <c r="B150" s="4"/>
      <c r="C150" s="4"/>
      <c r="D150" s="4"/>
      <c r="E150" s="4"/>
      <c r="F150" s="4"/>
    </row>
    <row r="151" ht="15.75" customHeight="1">
      <c r="A151" s="4"/>
      <c r="B151" s="4"/>
      <c r="C151" s="4"/>
      <c r="D151" s="4"/>
      <c r="E151" s="4"/>
      <c r="F151" s="4"/>
    </row>
    <row r="152" ht="15.75" customHeight="1">
      <c r="A152" s="4"/>
      <c r="B152" s="4"/>
      <c r="C152" s="4"/>
      <c r="D152" s="4"/>
      <c r="E152" s="4"/>
      <c r="F152" s="4"/>
    </row>
    <row r="153" ht="15.75" customHeight="1">
      <c r="A153" s="4"/>
      <c r="B153" s="4"/>
      <c r="C153" s="4"/>
      <c r="D153" s="4"/>
      <c r="E153" s="4"/>
      <c r="F153" s="4"/>
    </row>
    <row r="154" ht="15.75" customHeight="1">
      <c r="A154" s="4"/>
      <c r="B154" s="4"/>
      <c r="C154" s="4"/>
      <c r="D154" s="4"/>
      <c r="E154" s="4"/>
      <c r="F154" s="4"/>
    </row>
    <row r="155" ht="15.75" customHeight="1">
      <c r="A155" s="4"/>
      <c r="B155" s="4"/>
      <c r="C155" s="4"/>
      <c r="D155" s="4"/>
      <c r="E155" s="4"/>
      <c r="F155" s="4"/>
    </row>
    <row r="156" ht="15.75" customHeight="1">
      <c r="A156" s="4"/>
      <c r="B156" s="4"/>
      <c r="C156" s="4"/>
      <c r="D156" s="4"/>
      <c r="E156" s="4"/>
      <c r="F156" s="4"/>
    </row>
    <row r="157" ht="15.75" customHeight="1">
      <c r="A157" s="4"/>
      <c r="B157" s="4"/>
      <c r="C157" s="4"/>
      <c r="D157" s="4"/>
      <c r="E157" s="4"/>
      <c r="F157" s="4"/>
    </row>
    <row r="158" ht="15.75" customHeight="1">
      <c r="A158" s="4"/>
      <c r="B158" s="4"/>
      <c r="C158" s="4"/>
      <c r="D158" s="4"/>
      <c r="E158" s="4"/>
      <c r="F158" s="4"/>
    </row>
    <row r="159" ht="15.75" customHeight="1">
      <c r="A159" s="4"/>
      <c r="B159" s="4"/>
      <c r="C159" s="4"/>
      <c r="D159" s="4"/>
      <c r="E159" s="4"/>
      <c r="F159" s="4"/>
    </row>
    <row r="160" ht="15.75" customHeight="1">
      <c r="A160" s="4"/>
      <c r="B160" s="4"/>
      <c r="C160" s="4"/>
      <c r="D160" s="4"/>
      <c r="E160" s="4"/>
      <c r="F160" s="4"/>
    </row>
    <row r="161" ht="15.75" customHeight="1">
      <c r="A161" s="4"/>
      <c r="B161" s="4"/>
      <c r="C161" s="4"/>
      <c r="D161" s="4"/>
      <c r="E161" s="4"/>
      <c r="F161" s="4"/>
    </row>
    <row r="162" ht="15.75" customHeight="1">
      <c r="A162" s="4"/>
      <c r="B162" s="4"/>
      <c r="C162" s="4"/>
      <c r="D162" s="4"/>
      <c r="E162" s="4"/>
      <c r="F162" s="4"/>
    </row>
    <row r="163" ht="15.75" customHeight="1">
      <c r="A163" s="4"/>
      <c r="B163" s="4"/>
      <c r="C163" s="4"/>
      <c r="D163" s="4"/>
      <c r="E163" s="4"/>
      <c r="F163" s="4"/>
    </row>
    <row r="164" ht="15.75" customHeight="1">
      <c r="A164" s="4"/>
      <c r="B164" s="4"/>
      <c r="C164" s="4"/>
      <c r="D164" s="4"/>
      <c r="E164" s="4"/>
      <c r="F164" s="4"/>
    </row>
    <row r="165" ht="15.75" customHeight="1">
      <c r="A165" s="4"/>
      <c r="B165" s="4"/>
      <c r="C165" s="4"/>
      <c r="D165" s="4"/>
      <c r="E165" s="4"/>
      <c r="F165" s="4"/>
    </row>
    <row r="166" ht="15.75" customHeight="1">
      <c r="A166" s="4"/>
      <c r="B166" s="4"/>
      <c r="C166" s="4"/>
      <c r="D166" s="4"/>
      <c r="E166" s="4"/>
      <c r="F166" s="4"/>
    </row>
    <row r="167" ht="15.75" customHeight="1">
      <c r="A167" s="4"/>
      <c r="B167" s="4"/>
      <c r="C167" s="4"/>
      <c r="D167" s="4"/>
      <c r="E167" s="4"/>
      <c r="F167" s="4"/>
    </row>
    <row r="168" ht="15.75" customHeight="1">
      <c r="A168" s="4"/>
      <c r="B168" s="4"/>
      <c r="C168" s="4"/>
      <c r="D168" s="4"/>
      <c r="E168" s="4"/>
      <c r="F168" s="4"/>
    </row>
    <row r="169" ht="15.75" customHeight="1">
      <c r="A169" s="4"/>
      <c r="B169" s="4"/>
      <c r="C169" s="4"/>
      <c r="D169" s="4"/>
      <c r="E169" s="4"/>
      <c r="F169" s="4"/>
    </row>
    <row r="170" ht="15.75" customHeight="1">
      <c r="A170" s="4"/>
      <c r="B170" s="4"/>
      <c r="C170" s="4"/>
      <c r="D170" s="4"/>
      <c r="E170" s="4"/>
      <c r="F170" s="4"/>
    </row>
    <row r="171" ht="15.75" customHeight="1">
      <c r="A171" s="4"/>
      <c r="B171" s="4"/>
      <c r="C171" s="4"/>
      <c r="D171" s="4"/>
      <c r="E171" s="4"/>
      <c r="F171" s="4"/>
    </row>
    <row r="172" ht="15.75" customHeight="1">
      <c r="A172" s="4"/>
      <c r="B172" s="4"/>
      <c r="C172" s="4"/>
      <c r="D172" s="4"/>
      <c r="E172" s="4"/>
      <c r="F172" s="4"/>
    </row>
    <row r="173" ht="15.75" customHeight="1">
      <c r="A173" s="4"/>
      <c r="B173" s="4"/>
      <c r="C173" s="4"/>
      <c r="D173" s="4"/>
      <c r="E173" s="4"/>
      <c r="F173" s="4"/>
    </row>
    <row r="174" ht="15.75" customHeight="1">
      <c r="A174" s="4"/>
      <c r="B174" s="4"/>
      <c r="C174" s="4"/>
      <c r="D174" s="4"/>
      <c r="E174" s="4"/>
      <c r="F174" s="4"/>
    </row>
    <row r="175" ht="15.75" customHeight="1">
      <c r="A175" s="4"/>
      <c r="B175" s="4"/>
      <c r="C175" s="4"/>
      <c r="D175" s="4"/>
      <c r="E175" s="4"/>
      <c r="F175" s="4"/>
    </row>
    <row r="176" ht="15.75" customHeight="1">
      <c r="A176" s="4"/>
      <c r="B176" s="4"/>
      <c r="C176" s="4"/>
      <c r="D176" s="4"/>
      <c r="E176" s="4"/>
      <c r="F176" s="4"/>
    </row>
    <row r="177" ht="15.75" customHeight="1">
      <c r="A177" s="4"/>
      <c r="B177" s="4"/>
      <c r="C177" s="4"/>
      <c r="D177" s="4"/>
      <c r="E177" s="4"/>
      <c r="F177" s="4"/>
    </row>
    <row r="178" ht="15.75" customHeight="1">
      <c r="A178" s="4"/>
      <c r="B178" s="4"/>
      <c r="C178" s="4"/>
      <c r="D178" s="4"/>
      <c r="E178" s="4"/>
      <c r="F178" s="4"/>
    </row>
    <row r="179" ht="15.75" customHeight="1">
      <c r="A179" s="4"/>
      <c r="B179" s="4"/>
      <c r="C179" s="4"/>
      <c r="D179" s="4"/>
      <c r="E179" s="4"/>
      <c r="F179" s="4"/>
    </row>
    <row r="180" ht="15.75" customHeight="1">
      <c r="A180" s="4"/>
      <c r="B180" s="4"/>
      <c r="C180" s="4"/>
      <c r="D180" s="4"/>
      <c r="E180" s="4"/>
      <c r="F180" s="4"/>
    </row>
    <row r="181" ht="15.75" customHeight="1">
      <c r="A181" s="4"/>
      <c r="B181" s="4"/>
      <c r="C181" s="4"/>
      <c r="D181" s="4"/>
      <c r="E181" s="4"/>
      <c r="F181" s="4"/>
    </row>
    <row r="182" ht="15.75" customHeight="1">
      <c r="A182" s="4"/>
      <c r="B182" s="4"/>
      <c r="C182" s="4"/>
      <c r="D182" s="4"/>
      <c r="E182" s="4"/>
      <c r="F182" s="4"/>
    </row>
    <row r="183" ht="15.75" customHeight="1">
      <c r="A183" s="4"/>
      <c r="B183" s="4"/>
      <c r="C183" s="4"/>
      <c r="D183" s="4"/>
      <c r="E183" s="4"/>
      <c r="F183" s="4"/>
    </row>
    <row r="184" ht="15.75" customHeight="1">
      <c r="A184" s="4"/>
      <c r="B184" s="4"/>
      <c r="C184" s="4"/>
      <c r="D184" s="4"/>
      <c r="E184" s="4"/>
      <c r="F184" s="4"/>
    </row>
    <row r="185" ht="15.75" customHeight="1">
      <c r="A185" s="4"/>
      <c r="B185" s="4"/>
      <c r="C185" s="4"/>
      <c r="D185" s="4"/>
      <c r="E185" s="4"/>
      <c r="F185" s="4"/>
    </row>
    <row r="186" ht="15.75" customHeight="1">
      <c r="A186" s="4"/>
      <c r="B186" s="4"/>
      <c r="C186" s="4"/>
      <c r="D186" s="4"/>
      <c r="E186" s="4"/>
      <c r="F186" s="4"/>
    </row>
    <row r="187" ht="15.75" customHeight="1">
      <c r="A187" s="4"/>
      <c r="B187" s="4"/>
      <c r="C187" s="4"/>
      <c r="D187" s="4"/>
      <c r="E187" s="4"/>
      <c r="F187" s="4"/>
    </row>
    <row r="188" ht="15.75" customHeight="1">
      <c r="A188" s="4"/>
      <c r="B188" s="4"/>
      <c r="C188" s="4"/>
      <c r="D188" s="4"/>
      <c r="E188" s="4"/>
      <c r="F188" s="4"/>
    </row>
    <row r="189" ht="15.75" customHeight="1">
      <c r="A189" s="4"/>
      <c r="B189" s="4"/>
      <c r="C189" s="4"/>
      <c r="D189" s="4"/>
      <c r="E189" s="4"/>
      <c r="F189" s="4"/>
    </row>
    <row r="190" ht="15.75" customHeight="1">
      <c r="A190" s="4"/>
      <c r="B190" s="4"/>
      <c r="C190" s="4"/>
      <c r="D190" s="4"/>
      <c r="E190" s="4"/>
      <c r="F190" s="4"/>
    </row>
    <row r="191" ht="15.75" customHeight="1">
      <c r="A191" s="4"/>
      <c r="B191" s="4"/>
      <c r="C191" s="4"/>
      <c r="D191" s="4"/>
      <c r="E191" s="4"/>
      <c r="F191" s="4"/>
    </row>
    <row r="192" ht="15.75" customHeight="1">
      <c r="A192" s="4"/>
      <c r="B192" s="4"/>
      <c r="C192" s="4"/>
      <c r="D192" s="4"/>
      <c r="E192" s="4"/>
      <c r="F192" s="4"/>
    </row>
    <row r="193" ht="15.75" customHeight="1">
      <c r="A193" s="4"/>
      <c r="B193" s="4"/>
      <c r="C193" s="4"/>
      <c r="D193" s="4"/>
      <c r="E193" s="4"/>
      <c r="F193" s="4"/>
    </row>
    <row r="194" ht="15.75" customHeight="1">
      <c r="A194" s="4"/>
      <c r="B194" s="4"/>
      <c r="C194" s="4"/>
      <c r="D194" s="4"/>
      <c r="E194" s="4"/>
      <c r="F194" s="4"/>
    </row>
    <row r="195" ht="15.75" customHeight="1">
      <c r="A195" s="4"/>
      <c r="B195" s="4"/>
      <c r="C195" s="4"/>
      <c r="D195" s="4"/>
      <c r="E195" s="4"/>
      <c r="F195" s="4"/>
    </row>
    <row r="196" ht="15.75" customHeight="1">
      <c r="A196" s="4"/>
      <c r="B196" s="4"/>
      <c r="C196" s="4"/>
      <c r="D196" s="4"/>
      <c r="E196" s="4"/>
      <c r="F196" s="4"/>
    </row>
    <row r="197" ht="15.75" customHeight="1">
      <c r="A197" s="4"/>
      <c r="B197" s="4"/>
      <c r="C197" s="4"/>
      <c r="D197" s="4"/>
      <c r="E197" s="4"/>
      <c r="F197" s="4"/>
    </row>
    <row r="198" ht="15.75" customHeight="1">
      <c r="A198" s="4"/>
      <c r="B198" s="4"/>
      <c r="C198" s="4"/>
      <c r="D198" s="4"/>
      <c r="E198" s="4"/>
      <c r="F198" s="4"/>
    </row>
    <row r="199" ht="15.75" customHeight="1">
      <c r="A199" s="4"/>
      <c r="B199" s="4"/>
      <c r="C199" s="4"/>
      <c r="D199" s="4"/>
      <c r="E199" s="4"/>
      <c r="F199" s="4"/>
    </row>
    <row r="200" ht="15.75" customHeight="1">
      <c r="A200" s="4"/>
      <c r="B200" s="4"/>
      <c r="C200" s="4"/>
      <c r="D200" s="4"/>
      <c r="E200" s="4"/>
      <c r="F200" s="4"/>
    </row>
    <row r="201" ht="15.75" customHeight="1">
      <c r="A201" s="4"/>
      <c r="B201" s="4"/>
      <c r="C201" s="4"/>
      <c r="D201" s="4"/>
      <c r="E201" s="4"/>
      <c r="F201" s="4"/>
    </row>
    <row r="202" ht="15.75" customHeight="1">
      <c r="A202" s="4"/>
      <c r="B202" s="4"/>
      <c r="C202" s="4"/>
      <c r="D202" s="4"/>
      <c r="E202" s="4"/>
      <c r="F202" s="4"/>
    </row>
    <row r="203" ht="15.75" customHeight="1">
      <c r="A203" s="4"/>
      <c r="B203" s="4"/>
      <c r="C203" s="4"/>
      <c r="D203" s="4"/>
      <c r="E203" s="4"/>
      <c r="F203" s="4"/>
    </row>
    <row r="204" ht="15.75" customHeight="1">
      <c r="A204" s="4"/>
      <c r="B204" s="4"/>
      <c r="C204" s="4"/>
      <c r="D204" s="4"/>
      <c r="E204" s="4"/>
      <c r="F204" s="4"/>
    </row>
    <row r="205" ht="15.75" customHeight="1">
      <c r="A205" s="4"/>
      <c r="B205" s="4"/>
      <c r="C205" s="4"/>
      <c r="D205" s="4"/>
      <c r="E205" s="4"/>
      <c r="F205" s="4"/>
    </row>
    <row r="206" ht="15.75" customHeight="1">
      <c r="A206" s="4"/>
      <c r="B206" s="4"/>
      <c r="C206" s="4"/>
      <c r="D206" s="4"/>
      <c r="E206" s="4"/>
      <c r="F206" s="4"/>
    </row>
    <row r="207" ht="15.75" customHeight="1">
      <c r="A207" s="4"/>
      <c r="B207" s="4"/>
      <c r="C207" s="4"/>
      <c r="D207" s="4"/>
      <c r="E207" s="4"/>
      <c r="F207" s="4"/>
    </row>
    <row r="208" ht="15.75" customHeight="1">
      <c r="A208" s="4"/>
      <c r="B208" s="4"/>
      <c r="C208" s="4"/>
      <c r="D208" s="4"/>
      <c r="E208" s="4"/>
      <c r="F208" s="4"/>
    </row>
    <row r="209" ht="15.75" customHeight="1">
      <c r="A209" s="4"/>
      <c r="B209" s="4"/>
      <c r="C209" s="4"/>
      <c r="D209" s="4"/>
      <c r="E209" s="4"/>
      <c r="F209" s="4"/>
    </row>
    <row r="210" ht="15.75" customHeight="1">
      <c r="A210" s="4"/>
      <c r="B210" s="4"/>
      <c r="C210" s="4"/>
      <c r="D210" s="4"/>
      <c r="E210" s="4"/>
      <c r="F210" s="4"/>
    </row>
    <row r="211" ht="15.75" customHeight="1">
      <c r="A211" s="4"/>
      <c r="B211" s="4"/>
      <c r="C211" s="4"/>
      <c r="D211" s="4"/>
      <c r="E211" s="4"/>
      <c r="F211" s="4"/>
    </row>
    <row r="212" ht="15.75" customHeight="1">
      <c r="A212" s="4"/>
      <c r="B212" s="4"/>
      <c r="C212" s="4"/>
      <c r="D212" s="4"/>
      <c r="E212" s="4"/>
      <c r="F212" s="4"/>
    </row>
    <row r="213" ht="15.75" customHeight="1">
      <c r="A213" s="4"/>
      <c r="B213" s="4"/>
      <c r="C213" s="4"/>
      <c r="D213" s="4"/>
      <c r="E213" s="4"/>
      <c r="F213" s="4"/>
    </row>
    <row r="214" ht="15.75" customHeight="1">
      <c r="A214" s="4"/>
      <c r="B214" s="4"/>
      <c r="C214" s="4"/>
      <c r="D214" s="4"/>
      <c r="E214" s="4"/>
      <c r="F214" s="4"/>
    </row>
    <row r="215" ht="15.75" customHeight="1">
      <c r="A215" s="4"/>
      <c r="B215" s="4"/>
      <c r="C215" s="4"/>
      <c r="D215" s="4"/>
      <c r="E215" s="4"/>
      <c r="F215" s="4"/>
    </row>
    <row r="216" ht="15.75" customHeight="1">
      <c r="A216" s="4"/>
      <c r="B216" s="4"/>
      <c r="C216" s="4"/>
      <c r="D216" s="4"/>
      <c r="E216" s="4"/>
      <c r="F216" s="4"/>
    </row>
    <row r="217" ht="15.75" customHeight="1">
      <c r="A217" s="4"/>
      <c r="B217" s="4"/>
      <c r="C217" s="4"/>
      <c r="D217" s="4"/>
      <c r="E217" s="4"/>
      <c r="F217" s="4"/>
    </row>
    <row r="218" ht="15.75" customHeight="1">
      <c r="A218" s="4"/>
      <c r="B218" s="4"/>
      <c r="C218" s="4"/>
      <c r="D218" s="4"/>
      <c r="E218" s="4"/>
      <c r="F218" s="4"/>
    </row>
    <row r="219" ht="15.75" customHeight="1">
      <c r="A219" s="4"/>
      <c r="B219" s="4"/>
      <c r="C219" s="4"/>
      <c r="D219" s="4"/>
      <c r="E219" s="4"/>
      <c r="F219" s="4"/>
    </row>
    <row r="220" ht="15.75" customHeight="1">
      <c r="A220" s="4"/>
      <c r="B220" s="4"/>
      <c r="C220" s="4"/>
      <c r="D220" s="4"/>
      <c r="E220" s="4"/>
      <c r="F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30.0"/>
    <col customWidth="1" min="3" max="3" width="15.0"/>
    <col customWidth="1" min="4" max="4" width="23.0"/>
    <col customWidth="1" min="5" max="5" width="31.0"/>
    <col customWidth="1" min="6" max="6" width="62.0"/>
    <col customWidth="1" min="7" max="7" width="65.0"/>
    <col customWidth="1" min="8" max="8" width="48.0"/>
    <col customWidth="1" min="9" max="9" width="55.0"/>
  </cols>
  <sheetData>
    <row r="1" ht="42.0" customHeight="1">
      <c r="A1" s="37" t="s">
        <v>1</v>
      </c>
      <c r="B1" s="37" t="s">
        <v>23</v>
      </c>
      <c r="C1" s="37" t="s">
        <v>1010</v>
      </c>
      <c r="D1" s="37" t="s">
        <v>956</v>
      </c>
      <c r="E1" s="37" t="s">
        <v>1012</v>
      </c>
      <c r="F1" s="37" t="s">
        <v>1013</v>
      </c>
      <c r="G1" s="37" t="s">
        <v>1014</v>
      </c>
      <c r="H1" s="37" t="s">
        <v>1015</v>
      </c>
      <c r="I1" s="37" t="s">
        <v>1016</v>
      </c>
    </row>
    <row r="2" ht="42.0" customHeight="1">
      <c r="A2" s="21" t="s">
        <v>254</v>
      </c>
      <c r="B2" s="21" t="s">
        <v>1018</v>
      </c>
      <c r="C2" s="21" t="s">
        <v>353</v>
      </c>
      <c r="D2" s="21" t="s">
        <v>1019</v>
      </c>
      <c r="E2" s="21" t="s">
        <v>1020</v>
      </c>
      <c r="F2" s="21" t="s">
        <v>1021</v>
      </c>
      <c r="G2" s="21" t="s">
        <v>1022</v>
      </c>
      <c r="H2" s="21" t="s">
        <v>1023</v>
      </c>
      <c r="I2" s="21" t="s">
        <v>1024</v>
      </c>
    </row>
    <row r="3" ht="42.0" customHeight="1">
      <c r="A3" s="21" t="s">
        <v>1025</v>
      </c>
      <c r="B3" s="21" t="s">
        <v>1026</v>
      </c>
      <c r="C3" s="21" t="s">
        <v>353</v>
      </c>
      <c r="D3" s="21" t="s">
        <v>1027</v>
      </c>
      <c r="E3" s="21" t="s">
        <v>137</v>
      </c>
      <c r="F3" s="21" t="s">
        <v>1028</v>
      </c>
      <c r="G3" s="21" t="s">
        <v>1029</v>
      </c>
      <c r="H3" s="21" t="s">
        <v>1030</v>
      </c>
      <c r="I3" s="21" t="s">
        <v>137</v>
      </c>
    </row>
    <row r="4" ht="42.0" customHeight="1">
      <c r="A4" s="21" t="s">
        <v>1031</v>
      </c>
      <c r="B4" s="21" t="s">
        <v>1032</v>
      </c>
      <c r="C4" s="21" t="s">
        <v>353</v>
      </c>
      <c r="D4" s="21" t="s">
        <v>1033</v>
      </c>
      <c r="E4" s="21" t="s">
        <v>1034</v>
      </c>
      <c r="F4" s="21" t="s">
        <v>1035</v>
      </c>
      <c r="G4" s="21" t="s">
        <v>1036</v>
      </c>
      <c r="H4" s="21" t="s">
        <v>1037</v>
      </c>
      <c r="I4" s="21" t="s">
        <v>1038</v>
      </c>
    </row>
    <row r="5" ht="57.0" customHeight="1">
      <c r="A5" s="21" t="s">
        <v>1040</v>
      </c>
      <c r="B5" s="21" t="s">
        <v>1041</v>
      </c>
      <c r="C5" s="21" t="s">
        <v>345</v>
      </c>
      <c r="D5" s="21" t="s">
        <v>1042</v>
      </c>
      <c r="E5" s="21" t="s">
        <v>1043</v>
      </c>
      <c r="F5" s="21" t="s">
        <v>1044</v>
      </c>
      <c r="G5" s="21" t="s">
        <v>1045</v>
      </c>
      <c r="H5" s="21" t="s">
        <v>1046</v>
      </c>
      <c r="I5" s="21" t="s">
        <v>1048</v>
      </c>
    </row>
    <row r="6" ht="42.0" customHeight="1">
      <c r="A6" s="21" t="s">
        <v>1049</v>
      </c>
      <c r="B6" s="21" t="s">
        <v>1050</v>
      </c>
      <c r="C6" s="21" t="s">
        <v>71</v>
      </c>
      <c r="D6" s="21" t="s">
        <v>1051</v>
      </c>
      <c r="E6" s="21" t="s">
        <v>1053</v>
      </c>
      <c r="F6" s="21" t="s">
        <v>1054</v>
      </c>
      <c r="G6" s="21" t="s">
        <v>1055</v>
      </c>
      <c r="H6" s="21" t="s">
        <v>1056</v>
      </c>
      <c r="I6" s="21" t="s">
        <v>1057</v>
      </c>
    </row>
    <row r="7" ht="42.0" customHeight="1">
      <c r="A7" s="21" t="s">
        <v>1059</v>
      </c>
      <c r="B7" s="21" t="s">
        <v>1060</v>
      </c>
      <c r="C7" s="21" t="s">
        <v>345</v>
      </c>
      <c r="D7" s="21" t="s">
        <v>1061</v>
      </c>
      <c r="E7" s="21" t="s">
        <v>1062</v>
      </c>
      <c r="F7" s="21" t="s">
        <v>1063</v>
      </c>
      <c r="G7" s="21" t="s">
        <v>1065</v>
      </c>
      <c r="H7" s="21" t="s">
        <v>1066</v>
      </c>
      <c r="I7" s="21" t="s">
        <v>1067</v>
      </c>
    </row>
    <row r="8" ht="57.0" customHeight="1">
      <c r="A8" s="21" t="s">
        <v>1069</v>
      </c>
      <c r="B8" s="21" t="s">
        <v>1070</v>
      </c>
      <c r="C8" s="21" t="s">
        <v>71</v>
      </c>
      <c r="D8" s="21" t="s">
        <v>1061</v>
      </c>
      <c r="E8" s="21" t="s">
        <v>1072</v>
      </c>
      <c r="F8" s="21" t="s">
        <v>1073</v>
      </c>
      <c r="G8" s="21" t="s">
        <v>1075</v>
      </c>
      <c r="H8" s="21" t="s">
        <v>1076</v>
      </c>
      <c r="I8" s="21" t="s">
        <v>1077</v>
      </c>
    </row>
    <row r="9" ht="57.0" customHeight="1">
      <c r="A9" s="21" t="s">
        <v>1078</v>
      </c>
      <c r="B9" s="21" t="s">
        <v>1079</v>
      </c>
      <c r="C9" s="21" t="s">
        <v>131</v>
      </c>
      <c r="D9" s="21" t="s">
        <v>1061</v>
      </c>
      <c r="E9" s="21" t="s">
        <v>1081</v>
      </c>
      <c r="F9" s="21" t="s">
        <v>1082</v>
      </c>
      <c r="G9" s="21" t="s">
        <v>1083</v>
      </c>
      <c r="H9" s="21" t="s">
        <v>1084</v>
      </c>
      <c r="I9" s="21" t="s">
        <v>137</v>
      </c>
    </row>
    <row r="10" ht="57.0" customHeight="1">
      <c r="A10" s="21" t="s">
        <v>1086</v>
      </c>
      <c r="B10" s="21" t="s">
        <v>1087</v>
      </c>
      <c r="C10" s="21" t="s">
        <v>71</v>
      </c>
      <c r="D10" s="21" t="s">
        <v>1088</v>
      </c>
      <c r="E10" s="21" t="s">
        <v>1089</v>
      </c>
      <c r="F10" s="21" t="s">
        <v>1090</v>
      </c>
      <c r="G10" s="21" t="s">
        <v>1092</v>
      </c>
      <c r="H10" s="21" t="s">
        <v>1093</v>
      </c>
      <c r="I10" s="21" t="s">
        <v>1094</v>
      </c>
    </row>
    <row r="11" ht="30.0" customHeight="1">
      <c r="A11" s="21" t="s">
        <v>1095</v>
      </c>
      <c r="B11" s="21" t="s">
        <v>1096</v>
      </c>
      <c r="C11" s="21" t="s">
        <v>345</v>
      </c>
      <c r="D11" s="21" t="s">
        <v>1061</v>
      </c>
      <c r="E11" s="21" t="s">
        <v>1098</v>
      </c>
      <c r="F11" s="21" t="s">
        <v>1099</v>
      </c>
      <c r="G11" s="21" t="s">
        <v>1100</v>
      </c>
      <c r="H11" s="21" t="s">
        <v>1101</v>
      </c>
      <c r="I11" s="21" t="s">
        <v>137</v>
      </c>
    </row>
    <row r="12" ht="57.0" customHeight="1">
      <c r="A12" s="21" t="s">
        <v>1103</v>
      </c>
      <c r="B12" s="21" t="s">
        <v>1104</v>
      </c>
      <c r="C12" s="21" t="s">
        <v>131</v>
      </c>
      <c r="D12" s="21" t="s">
        <v>1105</v>
      </c>
      <c r="E12" s="21" t="s">
        <v>461</v>
      </c>
      <c r="F12" s="21" t="s">
        <v>1107</v>
      </c>
      <c r="G12" s="21" t="s">
        <v>1108</v>
      </c>
      <c r="H12" s="21" t="s">
        <v>1109</v>
      </c>
      <c r="I12" s="21" t="s">
        <v>1110</v>
      </c>
    </row>
    <row r="13" ht="42.0" customHeight="1">
      <c r="A13" s="21" t="s">
        <v>1112</v>
      </c>
      <c r="B13" s="21" t="s">
        <v>1113</v>
      </c>
      <c r="C13" s="21" t="s">
        <v>71</v>
      </c>
      <c r="D13" s="21" t="s">
        <v>1105</v>
      </c>
      <c r="E13" s="21" t="s">
        <v>1114</v>
      </c>
      <c r="F13" s="21" t="s">
        <v>1115</v>
      </c>
      <c r="G13" s="21" t="s">
        <v>1117</v>
      </c>
      <c r="H13" s="21" t="s">
        <v>1118</v>
      </c>
      <c r="I13" s="21" t="s">
        <v>1119</v>
      </c>
    </row>
    <row r="14" ht="72.0" customHeight="1">
      <c r="A14" s="21" t="s">
        <v>1120</v>
      </c>
      <c r="B14" s="21" t="s">
        <v>1122</v>
      </c>
      <c r="C14" s="21" t="s">
        <v>131</v>
      </c>
      <c r="D14" s="21" t="s">
        <v>1123</v>
      </c>
      <c r="E14" s="21" t="s">
        <v>1124</v>
      </c>
      <c r="F14" s="21" t="s">
        <v>1126</v>
      </c>
      <c r="G14" s="21" t="s">
        <v>1127</v>
      </c>
      <c r="H14" s="21" t="s">
        <v>1129</v>
      </c>
      <c r="I14" s="21" t="s">
        <v>1130</v>
      </c>
    </row>
    <row r="15" ht="57.0" customHeight="1">
      <c r="A15" s="21" t="s">
        <v>1131</v>
      </c>
      <c r="B15" s="21" t="s">
        <v>1132</v>
      </c>
      <c r="C15" s="21" t="s">
        <v>131</v>
      </c>
      <c r="D15" s="21" t="s">
        <v>1134</v>
      </c>
      <c r="E15" s="21" t="s">
        <v>1135</v>
      </c>
      <c r="F15" s="21" t="s">
        <v>1136</v>
      </c>
      <c r="G15" s="21" t="s">
        <v>1137</v>
      </c>
      <c r="H15" s="21" t="s">
        <v>1138</v>
      </c>
      <c r="I15" s="21" t="s">
        <v>1139</v>
      </c>
    </row>
    <row r="16" ht="42.0" customHeight="1">
      <c r="A16" s="21" t="s">
        <v>1141</v>
      </c>
      <c r="B16" s="21" t="s">
        <v>1142</v>
      </c>
      <c r="C16" s="21" t="s">
        <v>71</v>
      </c>
      <c r="D16" s="21" t="s">
        <v>1143</v>
      </c>
      <c r="E16" s="21" t="s">
        <v>1144</v>
      </c>
      <c r="F16" s="21" t="s">
        <v>1145</v>
      </c>
      <c r="G16" s="21" t="s">
        <v>1147</v>
      </c>
      <c r="H16" s="21" t="s">
        <v>1148</v>
      </c>
      <c r="I16" s="21" t="s">
        <v>1149</v>
      </c>
    </row>
    <row r="17" ht="72.0" customHeight="1">
      <c r="A17" s="21" t="s">
        <v>1150</v>
      </c>
      <c r="B17" s="21" t="s">
        <v>1151</v>
      </c>
      <c r="C17" s="21" t="s">
        <v>131</v>
      </c>
      <c r="D17" s="21" t="s">
        <v>1143</v>
      </c>
      <c r="E17" s="21" t="s">
        <v>1153</v>
      </c>
      <c r="F17" s="21" t="s">
        <v>1154</v>
      </c>
      <c r="G17" s="21" t="s">
        <v>1155</v>
      </c>
      <c r="H17" s="21" t="s">
        <v>1157</v>
      </c>
      <c r="I17" s="21" t="s">
        <v>1149</v>
      </c>
    </row>
    <row r="18" ht="162.0" customHeight="1">
      <c r="A18" s="21" t="s">
        <v>1158</v>
      </c>
      <c r="B18" s="21" t="s">
        <v>1159</v>
      </c>
      <c r="C18" s="21" t="s">
        <v>71</v>
      </c>
      <c r="D18" s="21" t="s">
        <v>1143</v>
      </c>
      <c r="E18" s="21" t="s">
        <v>1161</v>
      </c>
      <c r="F18" s="21" t="s">
        <v>1162</v>
      </c>
      <c r="G18" s="21" t="s">
        <v>1163</v>
      </c>
      <c r="H18" s="21" t="s">
        <v>1164</v>
      </c>
      <c r="I18" s="21" t="s">
        <v>1149</v>
      </c>
    </row>
    <row r="19" ht="147.0" customHeight="1">
      <c r="A19" s="21" t="s">
        <v>1166</v>
      </c>
      <c r="B19" s="21" t="s">
        <v>278</v>
      </c>
      <c r="C19" s="21" t="s">
        <v>71</v>
      </c>
      <c r="D19" s="21" t="s">
        <v>1143</v>
      </c>
      <c r="E19" s="21" t="s">
        <v>1167</v>
      </c>
      <c r="F19" s="21" t="s">
        <v>1169</v>
      </c>
      <c r="G19" s="21" t="s">
        <v>1170</v>
      </c>
      <c r="H19" s="21" t="s">
        <v>1171</v>
      </c>
      <c r="I19" s="21" t="s">
        <v>1149</v>
      </c>
    </row>
    <row r="20" ht="87.0" customHeight="1">
      <c r="A20" s="21" t="s">
        <v>1173</v>
      </c>
      <c r="B20" s="21" t="s">
        <v>1174</v>
      </c>
      <c r="C20" s="21" t="s">
        <v>71</v>
      </c>
      <c r="D20" s="21" t="s">
        <v>1143</v>
      </c>
      <c r="E20" s="21" t="s">
        <v>1176</v>
      </c>
      <c r="F20" s="21" t="s">
        <v>1178</v>
      </c>
      <c r="G20" s="21" t="s">
        <v>1179</v>
      </c>
      <c r="H20" s="21" t="s">
        <v>1180</v>
      </c>
      <c r="I20" s="21" t="s">
        <v>1149</v>
      </c>
    </row>
    <row r="21" ht="246.0" customHeight="1">
      <c r="A21" s="21" t="s">
        <v>1182</v>
      </c>
      <c r="B21" s="21" t="s">
        <v>147</v>
      </c>
      <c r="C21" s="21" t="s">
        <v>71</v>
      </c>
      <c r="D21" s="21" t="s">
        <v>1183</v>
      </c>
      <c r="E21" s="21" t="s">
        <v>1185</v>
      </c>
      <c r="F21" s="21" t="s">
        <v>1186</v>
      </c>
      <c r="G21" s="21" t="s">
        <v>1187</v>
      </c>
      <c r="H21" s="21" t="s">
        <v>1189</v>
      </c>
      <c r="I21" s="21" t="s">
        <v>1190</v>
      </c>
    </row>
    <row r="22" ht="336.0" customHeight="1">
      <c r="A22" s="21" t="s">
        <v>1173</v>
      </c>
      <c r="B22" s="21" t="s">
        <v>694</v>
      </c>
      <c r="C22" s="21" t="s">
        <v>71</v>
      </c>
      <c r="D22" s="21" t="s">
        <v>1183</v>
      </c>
      <c r="E22" s="21" t="s">
        <v>1176</v>
      </c>
      <c r="F22" s="21" t="s">
        <v>1186</v>
      </c>
      <c r="G22" s="21" t="s">
        <v>1193</v>
      </c>
      <c r="H22" s="21" t="s">
        <v>1194</v>
      </c>
      <c r="I22" s="21" t="s">
        <v>1190</v>
      </c>
    </row>
    <row r="23" ht="15.75" customHeight="1">
      <c r="A23" s="4"/>
      <c r="B23" s="4"/>
      <c r="C23" s="4"/>
      <c r="D23" s="4"/>
      <c r="E23" s="4"/>
      <c r="F23" s="4"/>
      <c r="G23" s="4"/>
      <c r="H23" s="4"/>
      <c r="I23" s="4"/>
    </row>
    <row r="24" ht="15.75" customHeight="1">
      <c r="A24" s="4"/>
      <c r="B24" s="4"/>
      <c r="C24" s="4"/>
      <c r="D24" s="4"/>
      <c r="E24" s="4"/>
      <c r="F24" s="4"/>
      <c r="G24" s="4"/>
      <c r="H24" s="4"/>
      <c r="I24" s="4"/>
    </row>
    <row r="25" ht="15.75" customHeight="1">
      <c r="A25" s="4"/>
      <c r="B25" s="4"/>
      <c r="C25" s="4"/>
      <c r="D25" s="4"/>
      <c r="E25" s="4"/>
      <c r="F25" s="4"/>
      <c r="G25" s="4"/>
      <c r="H25" s="4"/>
      <c r="I25" s="4"/>
    </row>
    <row r="26" ht="15.75" customHeight="1">
      <c r="A26" s="4"/>
      <c r="B26" s="4"/>
      <c r="C26" s="4"/>
      <c r="D26" s="4"/>
      <c r="E26" s="4"/>
      <c r="F26" s="4"/>
      <c r="G26" s="4"/>
      <c r="H26" s="4"/>
      <c r="I26" s="4"/>
    </row>
    <row r="27" ht="15.75" customHeight="1">
      <c r="A27" s="4"/>
      <c r="B27" s="4"/>
      <c r="C27" s="4"/>
      <c r="D27" s="4"/>
      <c r="E27" s="4"/>
      <c r="F27" s="4"/>
      <c r="G27" s="4"/>
      <c r="H27" s="4"/>
      <c r="I27" s="4"/>
    </row>
    <row r="28" ht="15.75" customHeight="1">
      <c r="A28" s="4"/>
      <c r="B28" s="4"/>
      <c r="C28" s="4"/>
      <c r="D28" s="4"/>
      <c r="E28" s="4"/>
      <c r="F28" s="4"/>
      <c r="G28" s="4"/>
      <c r="H28" s="4"/>
      <c r="I28" s="4"/>
    </row>
    <row r="29" ht="15.75" customHeight="1">
      <c r="A29" s="4"/>
      <c r="B29" s="4"/>
      <c r="C29" s="4"/>
      <c r="D29" s="4"/>
      <c r="E29" s="4"/>
      <c r="F29" s="4"/>
      <c r="G29" s="4"/>
      <c r="H29" s="4"/>
      <c r="I29" s="4"/>
    </row>
    <row r="30" ht="15.75" customHeight="1">
      <c r="A30" s="4"/>
      <c r="B30" s="4"/>
      <c r="C30" s="4"/>
      <c r="D30" s="4"/>
      <c r="E30" s="4"/>
      <c r="F30" s="4"/>
      <c r="G30" s="4"/>
      <c r="H30" s="4"/>
      <c r="I30" s="4"/>
    </row>
    <row r="31" ht="15.75" customHeight="1">
      <c r="A31" s="4"/>
      <c r="B31" s="4"/>
      <c r="C31" s="4"/>
      <c r="D31" s="4"/>
      <c r="E31" s="4"/>
      <c r="F31" s="4"/>
      <c r="G31" s="4"/>
      <c r="H31" s="4"/>
      <c r="I31" s="4"/>
    </row>
    <row r="32" ht="15.75" customHeight="1">
      <c r="A32" s="4"/>
      <c r="B32" s="4"/>
      <c r="C32" s="4"/>
      <c r="D32" s="4"/>
      <c r="E32" s="4"/>
      <c r="F32" s="4"/>
      <c r="G32" s="4"/>
      <c r="H32" s="4"/>
      <c r="I32" s="4"/>
    </row>
    <row r="33" ht="15.75" customHeight="1">
      <c r="A33" s="4"/>
      <c r="B33" s="4"/>
      <c r="C33" s="4"/>
      <c r="D33" s="4"/>
      <c r="E33" s="4"/>
      <c r="F33" s="4"/>
      <c r="G33" s="4"/>
      <c r="H33" s="4"/>
      <c r="I33" s="4"/>
    </row>
    <row r="34" ht="15.75" customHeight="1">
      <c r="A34" s="4"/>
      <c r="B34" s="4"/>
      <c r="C34" s="4"/>
      <c r="D34" s="4"/>
      <c r="E34" s="4"/>
      <c r="F34" s="4"/>
      <c r="G34" s="4"/>
      <c r="H34" s="4"/>
      <c r="I34" s="4"/>
    </row>
    <row r="35" ht="15.75" customHeight="1">
      <c r="A35" s="4"/>
      <c r="B35" s="4"/>
      <c r="C35" s="4"/>
      <c r="D35" s="4"/>
      <c r="E35" s="4"/>
      <c r="F35" s="4"/>
      <c r="G35" s="4"/>
      <c r="H35" s="4"/>
      <c r="I35" s="4"/>
    </row>
    <row r="36" ht="15.75" customHeight="1">
      <c r="A36" s="4"/>
      <c r="B36" s="4"/>
      <c r="C36" s="4"/>
      <c r="D36" s="4"/>
      <c r="E36" s="4"/>
      <c r="F36" s="4"/>
      <c r="G36" s="4"/>
      <c r="H36" s="4"/>
      <c r="I36" s="4"/>
    </row>
    <row r="37" ht="15.75" customHeight="1">
      <c r="A37" s="4"/>
      <c r="B37" s="4"/>
      <c r="C37" s="4"/>
      <c r="D37" s="4"/>
      <c r="E37" s="4"/>
      <c r="F37" s="4"/>
      <c r="G37" s="4"/>
      <c r="H37" s="4"/>
      <c r="I37" s="4"/>
    </row>
    <row r="38" ht="15.75" customHeight="1">
      <c r="A38" s="4"/>
      <c r="B38" s="4"/>
      <c r="C38" s="4"/>
      <c r="D38" s="4"/>
      <c r="E38" s="4"/>
      <c r="F38" s="4"/>
      <c r="G38" s="4"/>
      <c r="H38" s="4"/>
      <c r="I38" s="4"/>
    </row>
    <row r="39" ht="15.75" customHeight="1">
      <c r="A39" s="4"/>
      <c r="B39" s="4"/>
      <c r="C39" s="4"/>
      <c r="D39" s="4"/>
      <c r="E39" s="4"/>
      <c r="F39" s="4"/>
      <c r="G39" s="4"/>
      <c r="H39" s="4"/>
      <c r="I39" s="4"/>
    </row>
    <row r="40" ht="15.75" customHeight="1">
      <c r="A40" s="4"/>
      <c r="B40" s="4"/>
      <c r="C40" s="4"/>
      <c r="D40" s="4"/>
      <c r="E40" s="4"/>
      <c r="F40" s="4"/>
      <c r="G40" s="4"/>
      <c r="H40" s="4"/>
      <c r="I40" s="4"/>
    </row>
    <row r="41" ht="15.75" customHeight="1">
      <c r="A41" s="4"/>
      <c r="B41" s="4"/>
      <c r="C41" s="4"/>
      <c r="D41" s="4"/>
      <c r="E41" s="4"/>
      <c r="F41" s="4"/>
      <c r="G41" s="4"/>
      <c r="H41" s="4"/>
      <c r="I41" s="4"/>
    </row>
    <row r="42" ht="15.75" customHeight="1">
      <c r="A42" s="4"/>
      <c r="B42" s="4"/>
      <c r="C42" s="4"/>
      <c r="D42" s="4"/>
      <c r="E42" s="4"/>
      <c r="F42" s="4"/>
      <c r="G42" s="4"/>
      <c r="H42" s="4"/>
      <c r="I42" s="4"/>
    </row>
    <row r="43" ht="15.75" customHeight="1">
      <c r="A43" s="4"/>
      <c r="B43" s="4"/>
      <c r="C43" s="4"/>
      <c r="D43" s="4"/>
      <c r="E43" s="4"/>
      <c r="F43" s="4"/>
      <c r="G43" s="4"/>
      <c r="H43" s="4"/>
      <c r="I43" s="4"/>
    </row>
    <row r="44" ht="15.75" customHeight="1">
      <c r="A44" s="4"/>
      <c r="B44" s="4"/>
      <c r="C44" s="4"/>
      <c r="D44" s="4"/>
      <c r="E44" s="4"/>
      <c r="F44" s="4"/>
      <c r="G44" s="4"/>
      <c r="H44" s="4"/>
      <c r="I44" s="4"/>
    </row>
    <row r="45" ht="15.75" customHeight="1">
      <c r="A45" s="4"/>
      <c r="B45" s="4"/>
      <c r="C45" s="4"/>
      <c r="D45" s="4"/>
      <c r="E45" s="4"/>
      <c r="F45" s="4"/>
      <c r="G45" s="4"/>
      <c r="H45" s="4"/>
      <c r="I45" s="4"/>
    </row>
    <row r="46" ht="15.75" customHeight="1">
      <c r="A46" s="4"/>
      <c r="B46" s="4"/>
      <c r="C46" s="4"/>
      <c r="D46" s="4"/>
      <c r="E46" s="4"/>
      <c r="F46" s="4"/>
      <c r="G46" s="4"/>
      <c r="H46" s="4"/>
      <c r="I46" s="4"/>
    </row>
    <row r="47" ht="15.75" customHeight="1">
      <c r="A47" s="4"/>
      <c r="B47" s="4"/>
      <c r="C47" s="4"/>
      <c r="D47" s="4"/>
      <c r="E47" s="4"/>
      <c r="F47" s="4"/>
      <c r="G47" s="4"/>
      <c r="H47" s="4"/>
      <c r="I47" s="4"/>
    </row>
    <row r="48" ht="15.75" customHeight="1">
      <c r="A48" s="4"/>
      <c r="B48" s="4"/>
      <c r="C48" s="4"/>
      <c r="D48" s="4"/>
      <c r="E48" s="4"/>
      <c r="F48" s="4"/>
      <c r="G48" s="4"/>
      <c r="H48" s="4"/>
      <c r="I48" s="4"/>
    </row>
    <row r="49" ht="15.75" customHeight="1">
      <c r="A49" s="4"/>
      <c r="B49" s="4"/>
      <c r="C49" s="4"/>
      <c r="D49" s="4"/>
      <c r="E49" s="4"/>
      <c r="F49" s="4"/>
      <c r="G49" s="4"/>
      <c r="H49" s="4"/>
      <c r="I49" s="4"/>
    </row>
    <row r="50" ht="15.75" customHeight="1">
      <c r="A50" s="4"/>
      <c r="B50" s="4"/>
      <c r="C50" s="4"/>
      <c r="D50" s="4"/>
      <c r="E50" s="4"/>
      <c r="F50" s="4"/>
      <c r="G50" s="4"/>
      <c r="H50" s="4"/>
      <c r="I50" s="4"/>
    </row>
    <row r="51" ht="15.75" customHeight="1">
      <c r="A51" s="4"/>
      <c r="B51" s="4"/>
      <c r="C51" s="4"/>
      <c r="D51" s="4"/>
      <c r="E51" s="4"/>
      <c r="F51" s="4"/>
      <c r="G51" s="4"/>
      <c r="H51" s="4"/>
      <c r="I51" s="4"/>
    </row>
    <row r="52" ht="15.75" customHeight="1">
      <c r="A52" s="4"/>
      <c r="B52" s="4"/>
      <c r="C52" s="4"/>
      <c r="D52" s="4"/>
      <c r="E52" s="4"/>
      <c r="F52" s="4"/>
      <c r="G52" s="4"/>
      <c r="H52" s="4"/>
      <c r="I52" s="4"/>
    </row>
    <row r="53" ht="15.75" customHeight="1">
      <c r="A53" s="4"/>
      <c r="B53" s="4"/>
      <c r="C53" s="4"/>
      <c r="D53" s="4"/>
      <c r="E53" s="4"/>
      <c r="F53" s="4"/>
      <c r="G53" s="4"/>
      <c r="H53" s="4"/>
      <c r="I53" s="4"/>
    </row>
    <row r="54" ht="15.75" customHeight="1">
      <c r="A54" s="4"/>
      <c r="B54" s="4"/>
      <c r="C54" s="4"/>
      <c r="D54" s="4"/>
      <c r="E54" s="4"/>
      <c r="F54" s="4"/>
      <c r="G54" s="4"/>
      <c r="H54" s="4"/>
      <c r="I54" s="4"/>
    </row>
    <row r="55" ht="15.75" customHeight="1">
      <c r="A55" s="4"/>
      <c r="B55" s="4"/>
      <c r="C55" s="4"/>
      <c r="D55" s="4"/>
      <c r="E55" s="4"/>
      <c r="F55" s="4"/>
      <c r="G55" s="4"/>
      <c r="H55" s="4"/>
      <c r="I55" s="4"/>
    </row>
    <row r="56" ht="15.75" customHeight="1">
      <c r="A56" s="4"/>
      <c r="B56" s="4"/>
      <c r="C56" s="4"/>
      <c r="D56" s="4"/>
      <c r="E56" s="4"/>
      <c r="F56" s="4"/>
      <c r="G56" s="4"/>
      <c r="H56" s="4"/>
      <c r="I56" s="4"/>
    </row>
    <row r="57" ht="15.75" customHeight="1">
      <c r="A57" s="4"/>
      <c r="B57" s="4"/>
      <c r="C57" s="4"/>
      <c r="D57" s="4"/>
      <c r="E57" s="4"/>
      <c r="F57" s="4"/>
      <c r="G57" s="4"/>
      <c r="H57" s="4"/>
      <c r="I57" s="4"/>
    </row>
    <row r="58" ht="15.75" customHeight="1">
      <c r="A58" s="4"/>
      <c r="B58" s="4"/>
      <c r="C58" s="4"/>
      <c r="D58" s="4"/>
      <c r="E58" s="4"/>
      <c r="F58" s="4"/>
      <c r="G58" s="4"/>
      <c r="H58" s="4"/>
      <c r="I58" s="4"/>
    </row>
    <row r="59" ht="15.75" customHeight="1">
      <c r="A59" s="4"/>
      <c r="B59" s="4"/>
      <c r="C59" s="4"/>
      <c r="D59" s="4"/>
      <c r="E59" s="4"/>
      <c r="F59" s="4"/>
      <c r="G59" s="4"/>
      <c r="H59" s="4"/>
      <c r="I59" s="4"/>
    </row>
    <row r="60" ht="15.75" customHeight="1">
      <c r="A60" s="4"/>
      <c r="B60" s="4"/>
      <c r="C60" s="4"/>
      <c r="D60" s="4"/>
      <c r="E60" s="4"/>
      <c r="F60" s="4"/>
      <c r="G60" s="4"/>
      <c r="H60" s="4"/>
      <c r="I60" s="4"/>
    </row>
    <row r="61" ht="15.75" customHeight="1">
      <c r="A61" s="4"/>
      <c r="B61" s="4"/>
      <c r="C61" s="4"/>
      <c r="D61" s="4"/>
      <c r="E61" s="4"/>
      <c r="F61" s="4"/>
      <c r="G61" s="4"/>
      <c r="H61" s="4"/>
      <c r="I61" s="4"/>
    </row>
    <row r="62" ht="15.75" customHeight="1">
      <c r="A62" s="4"/>
      <c r="B62" s="4"/>
      <c r="C62" s="4"/>
      <c r="D62" s="4"/>
      <c r="E62" s="4"/>
      <c r="F62" s="4"/>
      <c r="G62" s="4"/>
      <c r="H62" s="4"/>
      <c r="I62" s="4"/>
    </row>
    <row r="63" ht="15.75" customHeight="1">
      <c r="A63" s="4"/>
      <c r="B63" s="4"/>
      <c r="C63" s="4"/>
      <c r="D63" s="4"/>
      <c r="E63" s="4"/>
      <c r="F63" s="4"/>
      <c r="G63" s="4"/>
      <c r="H63" s="4"/>
      <c r="I63" s="4"/>
    </row>
    <row r="64" ht="15.75" customHeight="1">
      <c r="A64" s="4"/>
      <c r="B64" s="4"/>
      <c r="C64" s="4"/>
      <c r="D64" s="4"/>
      <c r="E64" s="4"/>
      <c r="F64" s="4"/>
      <c r="G64" s="4"/>
      <c r="H64" s="4"/>
      <c r="I64" s="4"/>
    </row>
    <row r="65" ht="15.75" customHeight="1">
      <c r="A65" s="4"/>
      <c r="B65" s="4"/>
      <c r="C65" s="4"/>
      <c r="D65" s="4"/>
      <c r="E65" s="4"/>
      <c r="F65" s="4"/>
      <c r="G65" s="4"/>
      <c r="H65" s="4"/>
      <c r="I65" s="4"/>
    </row>
    <row r="66" ht="15.75" customHeight="1">
      <c r="A66" s="4"/>
      <c r="B66" s="4"/>
      <c r="C66" s="4"/>
      <c r="D66" s="4"/>
      <c r="E66" s="4"/>
      <c r="F66" s="4"/>
      <c r="G66" s="4"/>
      <c r="H66" s="4"/>
      <c r="I66" s="4"/>
    </row>
    <row r="67" ht="15.75" customHeight="1">
      <c r="A67" s="4"/>
      <c r="B67" s="4"/>
      <c r="C67" s="4"/>
      <c r="D67" s="4"/>
      <c r="E67" s="4"/>
      <c r="F67" s="4"/>
      <c r="G67" s="4"/>
      <c r="H67" s="4"/>
      <c r="I67" s="4"/>
    </row>
    <row r="68" ht="15.75" customHeight="1">
      <c r="A68" s="4"/>
      <c r="B68" s="4"/>
      <c r="C68" s="4"/>
      <c r="D68" s="4"/>
      <c r="E68" s="4"/>
      <c r="F68" s="4"/>
      <c r="G68" s="4"/>
      <c r="H68" s="4"/>
      <c r="I68" s="4"/>
    </row>
    <row r="69" ht="15.75" customHeight="1">
      <c r="A69" s="4"/>
      <c r="B69" s="4"/>
      <c r="C69" s="4"/>
      <c r="D69" s="4"/>
      <c r="E69" s="4"/>
      <c r="F69" s="4"/>
      <c r="G69" s="4"/>
      <c r="H69" s="4"/>
      <c r="I69" s="4"/>
    </row>
    <row r="70" ht="15.75" customHeight="1">
      <c r="A70" s="4"/>
      <c r="B70" s="4"/>
      <c r="C70" s="4"/>
      <c r="D70" s="4"/>
      <c r="E70" s="4"/>
      <c r="F70" s="4"/>
      <c r="G70" s="4"/>
      <c r="H70" s="4"/>
      <c r="I70" s="4"/>
    </row>
    <row r="71" ht="15.75" customHeight="1">
      <c r="A71" s="4"/>
      <c r="B71" s="4"/>
      <c r="C71" s="4"/>
      <c r="D71" s="4"/>
      <c r="E71" s="4"/>
      <c r="F71" s="4"/>
      <c r="G71" s="4"/>
      <c r="H71" s="4"/>
      <c r="I71" s="4"/>
    </row>
    <row r="72" ht="15.75" customHeight="1">
      <c r="A72" s="4"/>
      <c r="B72" s="4"/>
      <c r="C72" s="4"/>
      <c r="D72" s="4"/>
      <c r="E72" s="4"/>
      <c r="F72" s="4"/>
      <c r="G72" s="4"/>
      <c r="H72" s="4"/>
      <c r="I72" s="4"/>
    </row>
    <row r="73" ht="15.75" customHeight="1">
      <c r="A73" s="4"/>
      <c r="B73" s="4"/>
      <c r="C73" s="4"/>
      <c r="D73" s="4"/>
      <c r="E73" s="4"/>
      <c r="F73" s="4"/>
      <c r="G73" s="4"/>
      <c r="H73" s="4"/>
      <c r="I73" s="4"/>
    </row>
    <row r="74" ht="15.75" customHeight="1">
      <c r="A74" s="4"/>
      <c r="B74" s="4"/>
      <c r="C74" s="4"/>
      <c r="D74" s="4"/>
      <c r="E74" s="4"/>
      <c r="F74" s="4"/>
      <c r="G74" s="4"/>
      <c r="H74" s="4"/>
      <c r="I74" s="4"/>
    </row>
    <row r="75" ht="15.75" customHeight="1">
      <c r="A75" s="4"/>
      <c r="B75" s="4"/>
      <c r="C75" s="4"/>
      <c r="D75" s="4"/>
      <c r="E75" s="4"/>
      <c r="F75" s="4"/>
      <c r="G75" s="4"/>
      <c r="H75" s="4"/>
      <c r="I75" s="4"/>
    </row>
    <row r="76" ht="15.75" customHeight="1">
      <c r="A76" s="4"/>
      <c r="B76" s="4"/>
      <c r="C76" s="4"/>
      <c r="D76" s="4"/>
      <c r="E76" s="4"/>
      <c r="F76" s="4"/>
      <c r="G76" s="4"/>
      <c r="H76" s="4"/>
      <c r="I76" s="4"/>
    </row>
    <row r="77" ht="15.75" customHeight="1">
      <c r="A77" s="4"/>
      <c r="B77" s="4"/>
      <c r="C77" s="4"/>
      <c r="D77" s="4"/>
      <c r="E77" s="4"/>
      <c r="F77" s="4"/>
      <c r="G77" s="4"/>
      <c r="H77" s="4"/>
      <c r="I77" s="4"/>
    </row>
    <row r="78" ht="15.75" customHeight="1">
      <c r="A78" s="4"/>
      <c r="B78" s="4"/>
      <c r="C78" s="4"/>
      <c r="D78" s="4"/>
      <c r="E78" s="4"/>
      <c r="F78" s="4"/>
      <c r="G78" s="4"/>
      <c r="H78" s="4"/>
      <c r="I78" s="4"/>
    </row>
    <row r="79" ht="15.75" customHeight="1">
      <c r="A79" s="4"/>
      <c r="B79" s="4"/>
      <c r="C79" s="4"/>
      <c r="D79" s="4"/>
      <c r="E79" s="4"/>
      <c r="F79" s="4"/>
      <c r="G79" s="4"/>
      <c r="H79" s="4"/>
      <c r="I79" s="4"/>
    </row>
    <row r="80" ht="15.75" customHeight="1">
      <c r="A80" s="4"/>
      <c r="B80" s="4"/>
      <c r="C80" s="4"/>
      <c r="D80" s="4"/>
      <c r="E80" s="4"/>
      <c r="F80" s="4"/>
      <c r="G80" s="4"/>
      <c r="H80" s="4"/>
      <c r="I80" s="4"/>
    </row>
    <row r="81" ht="15.75" customHeight="1">
      <c r="A81" s="4"/>
      <c r="B81" s="4"/>
      <c r="C81" s="4"/>
      <c r="D81" s="4"/>
      <c r="E81" s="4"/>
      <c r="F81" s="4"/>
      <c r="G81" s="4"/>
      <c r="H81" s="4"/>
      <c r="I81" s="4"/>
    </row>
    <row r="82" ht="15.75" customHeight="1">
      <c r="A82" s="4"/>
      <c r="B82" s="4"/>
      <c r="C82" s="4"/>
      <c r="D82" s="4"/>
      <c r="E82" s="4"/>
      <c r="F82" s="4"/>
      <c r="G82" s="4"/>
      <c r="H82" s="4"/>
      <c r="I82" s="4"/>
    </row>
    <row r="83" ht="15.75" customHeight="1">
      <c r="A83" s="4"/>
      <c r="B83" s="4"/>
      <c r="C83" s="4"/>
      <c r="D83" s="4"/>
      <c r="E83" s="4"/>
      <c r="F83" s="4"/>
      <c r="G83" s="4"/>
      <c r="H83" s="4"/>
      <c r="I83" s="4"/>
    </row>
    <row r="84" ht="15.75" customHeight="1">
      <c r="A84" s="4"/>
      <c r="B84" s="4"/>
      <c r="C84" s="4"/>
      <c r="D84" s="4"/>
      <c r="E84" s="4"/>
      <c r="F84" s="4"/>
      <c r="G84" s="4"/>
      <c r="H84" s="4"/>
      <c r="I84" s="4"/>
    </row>
    <row r="85" ht="15.75" customHeight="1">
      <c r="A85" s="4"/>
      <c r="B85" s="4"/>
      <c r="C85" s="4"/>
      <c r="D85" s="4"/>
      <c r="E85" s="4"/>
      <c r="F85" s="4"/>
      <c r="G85" s="4"/>
      <c r="H85" s="4"/>
      <c r="I85" s="4"/>
    </row>
    <row r="86" ht="15.75" customHeight="1">
      <c r="A86" s="4"/>
      <c r="B86" s="4"/>
      <c r="C86" s="4"/>
      <c r="D86" s="4"/>
      <c r="E86" s="4"/>
      <c r="F86" s="4"/>
      <c r="G86" s="4"/>
      <c r="H86" s="4"/>
      <c r="I86" s="4"/>
    </row>
    <row r="87" ht="15.75" customHeight="1">
      <c r="A87" s="4"/>
      <c r="B87" s="4"/>
      <c r="C87" s="4"/>
      <c r="D87" s="4"/>
      <c r="E87" s="4"/>
      <c r="F87" s="4"/>
      <c r="G87" s="4"/>
      <c r="H87" s="4"/>
      <c r="I87" s="4"/>
    </row>
    <row r="88" ht="15.75" customHeight="1">
      <c r="A88" s="4"/>
      <c r="B88" s="4"/>
      <c r="C88" s="4"/>
      <c r="D88" s="4"/>
      <c r="E88" s="4"/>
      <c r="F88" s="4"/>
      <c r="G88" s="4"/>
      <c r="H88" s="4"/>
      <c r="I88" s="4"/>
    </row>
    <row r="89" ht="15.75" customHeight="1">
      <c r="A89" s="4"/>
      <c r="B89" s="4"/>
      <c r="C89" s="4"/>
      <c r="D89" s="4"/>
      <c r="E89" s="4"/>
      <c r="F89" s="4"/>
      <c r="G89" s="4"/>
      <c r="H89" s="4"/>
      <c r="I89" s="4"/>
    </row>
    <row r="90" ht="15.75" customHeight="1">
      <c r="A90" s="4"/>
      <c r="B90" s="4"/>
      <c r="C90" s="4"/>
      <c r="D90" s="4"/>
      <c r="E90" s="4"/>
      <c r="F90" s="4"/>
      <c r="G90" s="4"/>
      <c r="H90" s="4"/>
      <c r="I90" s="4"/>
    </row>
    <row r="91" ht="15.75" customHeight="1">
      <c r="A91" s="4"/>
      <c r="B91" s="4"/>
      <c r="C91" s="4"/>
      <c r="D91" s="4"/>
      <c r="E91" s="4"/>
      <c r="F91" s="4"/>
      <c r="G91" s="4"/>
      <c r="H91" s="4"/>
      <c r="I91" s="4"/>
    </row>
    <row r="92" ht="15.75" customHeight="1">
      <c r="A92" s="4"/>
      <c r="B92" s="4"/>
      <c r="C92" s="4"/>
      <c r="D92" s="4"/>
      <c r="E92" s="4"/>
      <c r="F92" s="4"/>
      <c r="G92" s="4"/>
      <c r="H92" s="4"/>
      <c r="I92" s="4"/>
    </row>
    <row r="93" ht="15.75" customHeight="1">
      <c r="A93" s="4"/>
      <c r="B93" s="4"/>
      <c r="C93" s="4"/>
      <c r="D93" s="4"/>
      <c r="E93" s="4"/>
      <c r="F93" s="4"/>
      <c r="G93" s="4"/>
      <c r="H93" s="4"/>
      <c r="I93" s="4"/>
    </row>
    <row r="94" ht="15.75" customHeight="1">
      <c r="A94" s="4"/>
      <c r="B94" s="4"/>
      <c r="C94" s="4"/>
      <c r="D94" s="4"/>
      <c r="E94" s="4"/>
      <c r="F94" s="4"/>
      <c r="G94" s="4"/>
      <c r="H94" s="4"/>
      <c r="I94" s="4"/>
    </row>
    <row r="95" ht="15.75" customHeight="1">
      <c r="A95" s="4"/>
      <c r="B95" s="4"/>
      <c r="C95" s="4"/>
      <c r="D95" s="4"/>
      <c r="E95" s="4"/>
      <c r="F95" s="4"/>
      <c r="G95" s="4"/>
      <c r="H95" s="4"/>
      <c r="I95" s="4"/>
    </row>
    <row r="96" ht="15.75" customHeight="1">
      <c r="A96" s="4"/>
      <c r="B96" s="4"/>
      <c r="C96" s="4"/>
      <c r="D96" s="4"/>
      <c r="E96" s="4"/>
      <c r="F96" s="4"/>
      <c r="G96" s="4"/>
      <c r="H96" s="4"/>
      <c r="I96" s="4"/>
    </row>
    <row r="97" ht="15.75" customHeight="1">
      <c r="A97" s="4"/>
      <c r="B97" s="4"/>
      <c r="C97" s="4"/>
      <c r="D97" s="4"/>
      <c r="E97" s="4"/>
      <c r="F97" s="4"/>
      <c r="G97" s="4"/>
      <c r="H97" s="4"/>
      <c r="I97" s="4"/>
    </row>
    <row r="98" ht="15.75" customHeight="1">
      <c r="A98" s="4"/>
      <c r="B98" s="4"/>
      <c r="C98" s="4"/>
      <c r="D98" s="4"/>
      <c r="E98" s="4"/>
      <c r="F98" s="4"/>
      <c r="G98" s="4"/>
      <c r="H98" s="4"/>
      <c r="I98" s="4"/>
    </row>
    <row r="99" ht="15.75" customHeight="1">
      <c r="A99" s="4"/>
      <c r="B99" s="4"/>
      <c r="C99" s="4"/>
      <c r="D99" s="4"/>
      <c r="E99" s="4"/>
      <c r="F99" s="4"/>
      <c r="G99" s="4"/>
      <c r="H99" s="4"/>
      <c r="I99" s="4"/>
    </row>
    <row r="100" ht="15.75" customHeight="1">
      <c r="A100" s="4"/>
      <c r="B100" s="4"/>
      <c r="C100" s="4"/>
      <c r="D100" s="4"/>
      <c r="E100" s="4"/>
      <c r="F100" s="4"/>
      <c r="G100" s="4"/>
      <c r="H100" s="4"/>
      <c r="I100" s="4"/>
    </row>
    <row r="101" ht="15.75" customHeight="1">
      <c r="A101" s="4"/>
      <c r="B101" s="4"/>
      <c r="C101" s="4"/>
      <c r="D101" s="4"/>
      <c r="E101" s="4"/>
      <c r="F101" s="4"/>
      <c r="G101" s="4"/>
      <c r="H101" s="4"/>
      <c r="I101" s="4"/>
    </row>
    <row r="102" ht="15.75" customHeight="1">
      <c r="A102" s="4"/>
      <c r="B102" s="4"/>
      <c r="C102" s="4"/>
      <c r="D102" s="4"/>
      <c r="E102" s="4"/>
      <c r="F102" s="4"/>
      <c r="G102" s="4"/>
      <c r="H102" s="4"/>
      <c r="I102" s="4"/>
    </row>
    <row r="103" ht="15.75" customHeight="1">
      <c r="A103" s="4"/>
      <c r="B103" s="4"/>
      <c r="C103" s="4"/>
      <c r="D103" s="4"/>
      <c r="E103" s="4"/>
      <c r="F103" s="4"/>
      <c r="G103" s="4"/>
      <c r="H103" s="4"/>
      <c r="I103" s="4"/>
    </row>
    <row r="104" ht="15.75" customHeight="1">
      <c r="A104" s="4"/>
      <c r="B104" s="4"/>
      <c r="C104" s="4"/>
      <c r="D104" s="4"/>
      <c r="E104" s="4"/>
      <c r="F104" s="4"/>
      <c r="G104" s="4"/>
      <c r="H104" s="4"/>
      <c r="I104" s="4"/>
    </row>
    <row r="105" ht="15.75" customHeight="1">
      <c r="A105" s="4"/>
      <c r="B105" s="4"/>
      <c r="C105" s="4"/>
      <c r="D105" s="4"/>
      <c r="E105" s="4"/>
      <c r="F105" s="4"/>
      <c r="G105" s="4"/>
      <c r="H105" s="4"/>
      <c r="I105" s="4"/>
    </row>
    <row r="106" ht="15.75" customHeight="1">
      <c r="A106" s="4"/>
      <c r="B106" s="4"/>
      <c r="C106" s="4"/>
      <c r="D106" s="4"/>
      <c r="E106" s="4"/>
      <c r="F106" s="4"/>
      <c r="G106" s="4"/>
      <c r="H106" s="4"/>
      <c r="I106" s="4"/>
    </row>
    <row r="107" ht="15.75" customHeight="1">
      <c r="A107" s="4"/>
      <c r="B107" s="4"/>
      <c r="C107" s="4"/>
      <c r="D107" s="4"/>
      <c r="E107" s="4"/>
      <c r="F107" s="4"/>
      <c r="G107" s="4"/>
      <c r="H107" s="4"/>
      <c r="I107" s="4"/>
    </row>
    <row r="108" ht="15.75" customHeight="1">
      <c r="A108" s="4"/>
      <c r="B108" s="4"/>
      <c r="C108" s="4"/>
      <c r="D108" s="4"/>
      <c r="E108" s="4"/>
      <c r="F108" s="4"/>
      <c r="G108" s="4"/>
      <c r="H108" s="4"/>
      <c r="I108" s="4"/>
    </row>
    <row r="109" ht="15.75" customHeight="1">
      <c r="A109" s="4"/>
      <c r="B109" s="4"/>
      <c r="C109" s="4"/>
      <c r="D109" s="4"/>
      <c r="E109" s="4"/>
      <c r="F109" s="4"/>
      <c r="G109" s="4"/>
      <c r="H109" s="4"/>
      <c r="I109" s="4"/>
    </row>
    <row r="110" ht="15.75" customHeight="1">
      <c r="A110" s="4"/>
      <c r="B110" s="4"/>
      <c r="C110" s="4"/>
      <c r="D110" s="4"/>
      <c r="E110" s="4"/>
      <c r="F110" s="4"/>
      <c r="G110" s="4"/>
      <c r="H110" s="4"/>
      <c r="I110" s="4"/>
    </row>
    <row r="111" ht="15.75" customHeight="1">
      <c r="A111" s="4"/>
      <c r="B111" s="4"/>
      <c r="C111" s="4"/>
      <c r="D111" s="4"/>
      <c r="E111" s="4"/>
      <c r="F111" s="4"/>
      <c r="G111" s="4"/>
      <c r="H111" s="4"/>
      <c r="I111" s="4"/>
    </row>
    <row r="112" ht="15.75" customHeight="1">
      <c r="A112" s="4"/>
      <c r="B112" s="4"/>
      <c r="C112" s="4"/>
      <c r="D112" s="4"/>
      <c r="E112" s="4"/>
      <c r="F112" s="4"/>
      <c r="G112" s="4"/>
      <c r="H112" s="4"/>
      <c r="I112" s="4"/>
    </row>
    <row r="113" ht="15.75" customHeight="1">
      <c r="A113" s="4"/>
      <c r="B113" s="4"/>
      <c r="C113" s="4"/>
      <c r="D113" s="4"/>
      <c r="E113" s="4"/>
      <c r="F113" s="4"/>
      <c r="G113" s="4"/>
      <c r="H113" s="4"/>
      <c r="I113" s="4"/>
    </row>
    <row r="114" ht="15.75" customHeight="1">
      <c r="A114" s="4"/>
      <c r="B114" s="4"/>
      <c r="C114" s="4"/>
      <c r="D114" s="4"/>
      <c r="E114" s="4"/>
      <c r="F114" s="4"/>
      <c r="G114" s="4"/>
      <c r="H114" s="4"/>
      <c r="I114" s="4"/>
    </row>
    <row r="115" ht="15.75" customHeight="1">
      <c r="A115" s="4"/>
      <c r="B115" s="4"/>
      <c r="C115" s="4"/>
      <c r="D115" s="4"/>
      <c r="E115" s="4"/>
      <c r="F115" s="4"/>
      <c r="G115" s="4"/>
      <c r="H115" s="4"/>
      <c r="I115" s="4"/>
    </row>
    <row r="116" ht="15.75" customHeight="1">
      <c r="A116" s="4"/>
      <c r="B116" s="4"/>
      <c r="C116" s="4"/>
      <c r="D116" s="4"/>
      <c r="E116" s="4"/>
      <c r="F116" s="4"/>
      <c r="G116" s="4"/>
      <c r="H116" s="4"/>
      <c r="I116" s="4"/>
    </row>
    <row r="117" ht="15.75" customHeight="1">
      <c r="A117" s="4"/>
      <c r="B117" s="4"/>
      <c r="C117" s="4"/>
      <c r="D117" s="4"/>
      <c r="E117" s="4"/>
      <c r="F117" s="4"/>
      <c r="G117" s="4"/>
      <c r="H117" s="4"/>
      <c r="I117" s="4"/>
    </row>
    <row r="118" ht="15.75" customHeight="1">
      <c r="A118" s="4"/>
      <c r="B118" s="4"/>
      <c r="C118" s="4"/>
      <c r="D118" s="4"/>
      <c r="E118" s="4"/>
      <c r="F118" s="4"/>
      <c r="G118" s="4"/>
      <c r="H118" s="4"/>
      <c r="I118" s="4"/>
    </row>
    <row r="119" ht="15.75" customHeight="1">
      <c r="A119" s="4"/>
      <c r="B119" s="4"/>
      <c r="C119" s="4"/>
      <c r="D119" s="4"/>
      <c r="E119" s="4"/>
      <c r="F119" s="4"/>
      <c r="G119" s="4"/>
      <c r="H119" s="4"/>
      <c r="I119" s="4"/>
    </row>
    <row r="120" ht="15.75" customHeight="1">
      <c r="A120" s="4"/>
      <c r="B120" s="4"/>
      <c r="C120" s="4"/>
      <c r="D120" s="4"/>
      <c r="E120" s="4"/>
      <c r="F120" s="4"/>
      <c r="G120" s="4"/>
      <c r="H120" s="4"/>
      <c r="I120" s="4"/>
    </row>
    <row r="121" ht="15.75" customHeight="1">
      <c r="A121" s="4"/>
      <c r="B121" s="4"/>
      <c r="C121" s="4"/>
      <c r="D121" s="4"/>
      <c r="E121" s="4"/>
      <c r="F121" s="4"/>
      <c r="G121" s="4"/>
      <c r="H121" s="4"/>
      <c r="I121" s="4"/>
    </row>
    <row r="122" ht="15.75" customHeight="1">
      <c r="A122" s="4"/>
      <c r="B122" s="4"/>
      <c r="C122" s="4"/>
      <c r="D122" s="4"/>
      <c r="E122" s="4"/>
      <c r="F122" s="4"/>
      <c r="G122" s="4"/>
      <c r="H122" s="4"/>
      <c r="I122" s="4"/>
    </row>
    <row r="123" ht="15.75" customHeight="1">
      <c r="A123" s="4"/>
      <c r="B123" s="4"/>
      <c r="C123" s="4"/>
      <c r="D123" s="4"/>
      <c r="E123" s="4"/>
      <c r="F123" s="4"/>
      <c r="G123" s="4"/>
      <c r="H123" s="4"/>
      <c r="I123" s="4"/>
    </row>
    <row r="124" ht="15.75" customHeight="1">
      <c r="A124" s="4"/>
      <c r="B124" s="4"/>
      <c r="C124" s="4"/>
      <c r="D124" s="4"/>
      <c r="E124" s="4"/>
      <c r="F124" s="4"/>
      <c r="G124" s="4"/>
      <c r="H124" s="4"/>
      <c r="I124" s="4"/>
    </row>
    <row r="125" ht="15.75" customHeight="1">
      <c r="A125" s="4"/>
      <c r="B125" s="4"/>
      <c r="C125" s="4"/>
      <c r="D125" s="4"/>
      <c r="E125" s="4"/>
      <c r="F125" s="4"/>
      <c r="G125" s="4"/>
      <c r="H125" s="4"/>
      <c r="I125" s="4"/>
    </row>
    <row r="126" ht="15.75" customHeight="1">
      <c r="A126" s="4"/>
      <c r="B126" s="4"/>
      <c r="C126" s="4"/>
      <c r="D126" s="4"/>
      <c r="E126" s="4"/>
      <c r="F126" s="4"/>
      <c r="G126" s="4"/>
      <c r="H126" s="4"/>
      <c r="I126" s="4"/>
    </row>
    <row r="127" ht="15.75" customHeight="1">
      <c r="A127" s="4"/>
      <c r="B127" s="4"/>
      <c r="C127" s="4"/>
      <c r="D127" s="4"/>
      <c r="E127" s="4"/>
      <c r="F127" s="4"/>
      <c r="G127" s="4"/>
      <c r="H127" s="4"/>
      <c r="I127" s="4"/>
    </row>
    <row r="128" ht="15.75" customHeight="1">
      <c r="A128" s="4"/>
      <c r="B128" s="4"/>
      <c r="C128" s="4"/>
      <c r="D128" s="4"/>
      <c r="E128" s="4"/>
      <c r="F128" s="4"/>
      <c r="G128" s="4"/>
      <c r="H128" s="4"/>
      <c r="I128" s="4"/>
    </row>
    <row r="129" ht="15.75" customHeight="1">
      <c r="A129" s="4"/>
      <c r="B129" s="4"/>
      <c r="C129" s="4"/>
      <c r="D129" s="4"/>
      <c r="E129" s="4"/>
      <c r="F129" s="4"/>
      <c r="G129" s="4"/>
      <c r="H129" s="4"/>
      <c r="I129" s="4"/>
    </row>
    <row r="130" ht="15.75" customHeight="1">
      <c r="A130" s="4"/>
      <c r="B130" s="4"/>
      <c r="C130" s="4"/>
      <c r="D130" s="4"/>
      <c r="E130" s="4"/>
      <c r="F130" s="4"/>
      <c r="G130" s="4"/>
      <c r="H130" s="4"/>
      <c r="I130" s="4"/>
    </row>
    <row r="131" ht="15.75" customHeight="1">
      <c r="A131" s="4"/>
      <c r="B131" s="4"/>
      <c r="C131" s="4"/>
      <c r="D131" s="4"/>
      <c r="E131" s="4"/>
      <c r="F131" s="4"/>
      <c r="G131" s="4"/>
      <c r="H131" s="4"/>
      <c r="I131" s="4"/>
    </row>
    <row r="132" ht="15.75" customHeight="1">
      <c r="A132" s="4"/>
      <c r="B132" s="4"/>
      <c r="C132" s="4"/>
      <c r="D132" s="4"/>
      <c r="E132" s="4"/>
      <c r="F132" s="4"/>
      <c r="G132" s="4"/>
      <c r="H132" s="4"/>
      <c r="I132" s="4"/>
    </row>
    <row r="133" ht="15.75" customHeight="1">
      <c r="A133" s="4"/>
      <c r="B133" s="4"/>
      <c r="C133" s="4"/>
      <c r="D133" s="4"/>
      <c r="E133" s="4"/>
      <c r="F133" s="4"/>
      <c r="G133" s="4"/>
      <c r="H133" s="4"/>
      <c r="I133" s="4"/>
    </row>
    <row r="134" ht="15.75" customHeight="1">
      <c r="A134" s="4"/>
      <c r="B134" s="4"/>
      <c r="C134" s="4"/>
      <c r="D134" s="4"/>
      <c r="E134" s="4"/>
      <c r="F134" s="4"/>
      <c r="G134" s="4"/>
      <c r="H134" s="4"/>
      <c r="I134" s="4"/>
    </row>
    <row r="135" ht="15.75" customHeight="1">
      <c r="A135" s="4"/>
      <c r="B135" s="4"/>
      <c r="C135" s="4"/>
      <c r="D135" s="4"/>
      <c r="E135" s="4"/>
      <c r="F135" s="4"/>
      <c r="G135" s="4"/>
      <c r="H135" s="4"/>
      <c r="I135" s="4"/>
    </row>
    <row r="136" ht="15.75" customHeight="1">
      <c r="A136" s="4"/>
      <c r="B136" s="4"/>
      <c r="C136" s="4"/>
      <c r="D136" s="4"/>
      <c r="E136" s="4"/>
      <c r="F136" s="4"/>
      <c r="G136" s="4"/>
      <c r="H136" s="4"/>
      <c r="I136" s="4"/>
    </row>
    <row r="137" ht="15.75" customHeight="1">
      <c r="A137" s="4"/>
      <c r="B137" s="4"/>
      <c r="C137" s="4"/>
      <c r="D137" s="4"/>
      <c r="E137" s="4"/>
      <c r="F137" s="4"/>
      <c r="G137" s="4"/>
      <c r="H137" s="4"/>
      <c r="I137" s="4"/>
    </row>
    <row r="138" ht="15.75" customHeight="1">
      <c r="A138" s="4"/>
      <c r="B138" s="4"/>
      <c r="C138" s="4"/>
      <c r="D138" s="4"/>
      <c r="E138" s="4"/>
      <c r="F138" s="4"/>
      <c r="G138" s="4"/>
      <c r="H138" s="4"/>
      <c r="I138" s="4"/>
    </row>
    <row r="139" ht="15.75" customHeight="1">
      <c r="A139" s="4"/>
      <c r="B139" s="4"/>
      <c r="C139" s="4"/>
      <c r="D139" s="4"/>
      <c r="E139" s="4"/>
      <c r="F139" s="4"/>
      <c r="G139" s="4"/>
      <c r="H139" s="4"/>
      <c r="I139" s="4"/>
    </row>
    <row r="140" ht="15.75" customHeight="1">
      <c r="A140" s="4"/>
      <c r="B140" s="4"/>
      <c r="C140" s="4"/>
      <c r="D140" s="4"/>
      <c r="E140" s="4"/>
      <c r="F140" s="4"/>
      <c r="G140" s="4"/>
      <c r="H140" s="4"/>
      <c r="I140" s="4"/>
    </row>
    <row r="141" ht="15.75" customHeight="1">
      <c r="A141" s="4"/>
      <c r="B141" s="4"/>
      <c r="C141" s="4"/>
      <c r="D141" s="4"/>
      <c r="E141" s="4"/>
      <c r="F141" s="4"/>
      <c r="G141" s="4"/>
      <c r="H141" s="4"/>
      <c r="I141" s="4"/>
    </row>
    <row r="142" ht="15.75" customHeight="1">
      <c r="A142" s="4"/>
      <c r="B142" s="4"/>
      <c r="C142" s="4"/>
      <c r="D142" s="4"/>
      <c r="E142" s="4"/>
      <c r="F142" s="4"/>
      <c r="G142" s="4"/>
      <c r="H142" s="4"/>
      <c r="I142" s="4"/>
    </row>
    <row r="143" ht="15.75" customHeight="1">
      <c r="A143" s="4"/>
      <c r="B143" s="4"/>
      <c r="C143" s="4"/>
      <c r="D143" s="4"/>
      <c r="E143" s="4"/>
      <c r="F143" s="4"/>
      <c r="G143" s="4"/>
      <c r="H143" s="4"/>
      <c r="I143" s="4"/>
    </row>
    <row r="144" ht="15.75" customHeight="1">
      <c r="A144" s="4"/>
      <c r="B144" s="4"/>
      <c r="C144" s="4"/>
      <c r="D144" s="4"/>
      <c r="E144" s="4"/>
      <c r="F144" s="4"/>
      <c r="G144" s="4"/>
      <c r="H144" s="4"/>
      <c r="I144" s="4"/>
    </row>
    <row r="145" ht="15.75" customHeight="1">
      <c r="A145" s="4"/>
      <c r="B145" s="4"/>
      <c r="C145" s="4"/>
      <c r="D145" s="4"/>
      <c r="E145" s="4"/>
      <c r="F145" s="4"/>
      <c r="G145" s="4"/>
      <c r="H145" s="4"/>
      <c r="I145" s="4"/>
    </row>
    <row r="146" ht="15.75" customHeight="1">
      <c r="A146" s="4"/>
      <c r="B146" s="4"/>
      <c r="C146" s="4"/>
      <c r="D146" s="4"/>
      <c r="E146" s="4"/>
      <c r="F146" s="4"/>
      <c r="G146" s="4"/>
      <c r="H146" s="4"/>
      <c r="I146" s="4"/>
    </row>
    <row r="147" ht="15.75" customHeight="1">
      <c r="A147" s="4"/>
      <c r="B147" s="4"/>
      <c r="C147" s="4"/>
      <c r="D147" s="4"/>
      <c r="E147" s="4"/>
      <c r="F147" s="4"/>
      <c r="G147" s="4"/>
      <c r="H147" s="4"/>
      <c r="I147" s="4"/>
    </row>
    <row r="148" ht="15.75" customHeight="1">
      <c r="A148" s="4"/>
      <c r="B148" s="4"/>
      <c r="C148" s="4"/>
      <c r="D148" s="4"/>
      <c r="E148" s="4"/>
      <c r="F148" s="4"/>
      <c r="G148" s="4"/>
      <c r="H148" s="4"/>
      <c r="I148" s="4"/>
    </row>
    <row r="149" ht="15.75" customHeight="1">
      <c r="A149" s="4"/>
      <c r="B149" s="4"/>
      <c r="C149" s="4"/>
      <c r="D149" s="4"/>
      <c r="E149" s="4"/>
      <c r="F149" s="4"/>
      <c r="G149" s="4"/>
      <c r="H149" s="4"/>
      <c r="I149" s="4"/>
    </row>
    <row r="150" ht="15.75" customHeight="1">
      <c r="A150" s="4"/>
      <c r="B150" s="4"/>
      <c r="C150" s="4"/>
      <c r="D150" s="4"/>
      <c r="E150" s="4"/>
      <c r="F150" s="4"/>
      <c r="G150" s="4"/>
      <c r="H150" s="4"/>
      <c r="I150" s="4"/>
    </row>
    <row r="151" ht="15.75" customHeight="1">
      <c r="A151" s="4"/>
      <c r="B151" s="4"/>
      <c r="C151" s="4"/>
      <c r="D151" s="4"/>
      <c r="E151" s="4"/>
      <c r="F151" s="4"/>
      <c r="G151" s="4"/>
      <c r="H151" s="4"/>
      <c r="I151" s="4"/>
    </row>
    <row r="152" ht="15.75" customHeight="1">
      <c r="A152" s="4"/>
      <c r="B152" s="4"/>
      <c r="C152" s="4"/>
      <c r="D152" s="4"/>
      <c r="E152" s="4"/>
      <c r="F152" s="4"/>
      <c r="G152" s="4"/>
      <c r="H152" s="4"/>
      <c r="I152" s="4"/>
    </row>
    <row r="153" ht="15.75" customHeight="1">
      <c r="A153" s="4"/>
      <c r="B153" s="4"/>
      <c r="C153" s="4"/>
      <c r="D153" s="4"/>
      <c r="E153" s="4"/>
      <c r="F153" s="4"/>
      <c r="G153" s="4"/>
      <c r="H153" s="4"/>
      <c r="I153" s="4"/>
    </row>
    <row r="154" ht="15.75" customHeight="1">
      <c r="A154" s="4"/>
      <c r="B154" s="4"/>
      <c r="C154" s="4"/>
      <c r="D154" s="4"/>
      <c r="E154" s="4"/>
      <c r="F154" s="4"/>
      <c r="G154" s="4"/>
      <c r="H154" s="4"/>
      <c r="I154" s="4"/>
    </row>
    <row r="155" ht="15.75" customHeight="1">
      <c r="A155" s="4"/>
      <c r="B155" s="4"/>
      <c r="C155" s="4"/>
      <c r="D155" s="4"/>
      <c r="E155" s="4"/>
      <c r="F155" s="4"/>
      <c r="G155" s="4"/>
      <c r="H155" s="4"/>
      <c r="I155" s="4"/>
    </row>
    <row r="156" ht="15.75" customHeight="1">
      <c r="A156" s="4"/>
      <c r="B156" s="4"/>
      <c r="C156" s="4"/>
      <c r="D156" s="4"/>
      <c r="E156" s="4"/>
      <c r="F156" s="4"/>
      <c r="G156" s="4"/>
      <c r="H156" s="4"/>
      <c r="I156" s="4"/>
    </row>
    <row r="157" ht="15.75" customHeight="1">
      <c r="A157" s="4"/>
      <c r="B157" s="4"/>
      <c r="C157" s="4"/>
      <c r="D157" s="4"/>
      <c r="E157" s="4"/>
      <c r="F157" s="4"/>
      <c r="G157" s="4"/>
      <c r="H157" s="4"/>
      <c r="I157" s="4"/>
    </row>
    <row r="158" ht="15.75" customHeight="1">
      <c r="A158" s="4"/>
      <c r="B158" s="4"/>
      <c r="C158" s="4"/>
      <c r="D158" s="4"/>
      <c r="E158" s="4"/>
      <c r="F158" s="4"/>
      <c r="G158" s="4"/>
      <c r="H158" s="4"/>
      <c r="I158" s="4"/>
    </row>
    <row r="159" ht="15.75" customHeight="1">
      <c r="A159" s="4"/>
      <c r="B159" s="4"/>
      <c r="C159" s="4"/>
      <c r="D159" s="4"/>
      <c r="E159" s="4"/>
      <c r="F159" s="4"/>
      <c r="G159" s="4"/>
      <c r="H159" s="4"/>
      <c r="I159" s="4"/>
    </row>
    <row r="160" ht="15.75" customHeight="1">
      <c r="A160" s="4"/>
      <c r="B160" s="4"/>
      <c r="C160" s="4"/>
      <c r="D160" s="4"/>
      <c r="E160" s="4"/>
      <c r="F160" s="4"/>
      <c r="G160" s="4"/>
      <c r="H160" s="4"/>
      <c r="I160" s="4"/>
    </row>
    <row r="161" ht="15.75" customHeight="1">
      <c r="A161" s="4"/>
      <c r="B161" s="4"/>
      <c r="C161" s="4"/>
      <c r="D161" s="4"/>
      <c r="E161" s="4"/>
      <c r="F161" s="4"/>
      <c r="G161" s="4"/>
      <c r="H161" s="4"/>
      <c r="I161" s="4"/>
    </row>
    <row r="162" ht="15.75" customHeight="1">
      <c r="A162" s="4"/>
      <c r="B162" s="4"/>
      <c r="C162" s="4"/>
      <c r="D162" s="4"/>
      <c r="E162" s="4"/>
      <c r="F162" s="4"/>
      <c r="G162" s="4"/>
      <c r="H162" s="4"/>
      <c r="I162" s="4"/>
    </row>
    <row r="163" ht="15.75" customHeight="1">
      <c r="A163" s="4"/>
      <c r="B163" s="4"/>
      <c r="C163" s="4"/>
      <c r="D163" s="4"/>
      <c r="E163" s="4"/>
      <c r="F163" s="4"/>
      <c r="G163" s="4"/>
      <c r="H163" s="4"/>
      <c r="I163" s="4"/>
    </row>
    <row r="164" ht="15.75" customHeight="1">
      <c r="A164" s="4"/>
      <c r="B164" s="4"/>
      <c r="C164" s="4"/>
      <c r="D164" s="4"/>
      <c r="E164" s="4"/>
      <c r="F164" s="4"/>
      <c r="G164" s="4"/>
      <c r="H164" s="4"/>
      <c r="I164" s="4"/>
    </row>
    <row r="165" ht="15.75" customHeight="1">
      <c r="A165" s="4"/>
      <c r="B165" s="4"/>
      <c r="C165" s="4"/>
      <c r="D165" s="4"/>
      <c r="E165" s="4"/>
      <c r="F165" s="4"/>
      <c r="G165" s="4"/>
      <c r="H165" s="4"/>
      <c r="I165" s="4"/>
    </row>
    <row r="166" ht="15.75" customHeight="1">
      <c r="A166" s="4"/>
      <c r="B166" s="4"/>
      <c r="C166" s="4"/>
      <c r="D166" s="4"/>
      <c r="E166" s="4"/>
      <c r="F166" s="4"/>
      <c r="G166" s="4"/>
      <c r="H166" s="4"/>
      <c r="I166" s="4"/>
    </row>
    <row r="167" ht="15.75" customHeight="1">
      <c r="A167" s="4"/>
      <c r="B167" s="4"/>
      <c r="C167" s="4"/>
      <c r="D167" s="4"/>
      <c r="E167" s="4"/>
      <c r="F167" s="4"/>
      <c r="G167" s="4"/>
      <c r="H167" s="4"/>
      <c r="I167" s="4"/>
    </row>
    <row r="168" ht="15.75" customHeight="1">
      <c r="A168" s="4"/>
      <c r="B168" s="4"/>
      <c r="C168" s="4"/>
      <c r="D168" s="4"/>
      <c r="E168" s="4"/>
      <c r="F168" s="4"/>
      <c r="G168" s="4"/>
      <c r="H168" s="4"/>
      <c r="I168" s="4"/>
    </row>
    <row r="169" ht="15.75" customHeight="1">
      <c r="A169" s="4"/>
      <c r="B169" s="4"/>
      <c r="C169" s="4"/>
      <c r="D169" s="4"/>
      <c r="E169" s="4"/>
      <c r="F169" s="4"/>
      <c r="G169" s="4"/>
      <c r="H169" s="4"/>
      <c r="I169" s="4"/>
    </row>
    <row r="170" ht="15.75" customHeight="1">
      <c r="A170" s="4"/>
      <c r="B170" s="4"/>
      <c r="C170" s="4"/>
      <c r="D170" s="4"/>
      <c r="E170" s="4"/>
      <c r="F170" s="4"/>
      <c r="G170" s="4"/>
      <c r="H170" s="4"/>
      <c r="I170" s="4"/>
    </row>
    <row r="171" ht="15.75" customHeight="1">
      <c r="A171" s="4"/>
      <c r="B171" s="4"/>
      <c r="C171" s="4"/>
      <c r="D171" s="4"/>
      <c r="E171" s="4"/>
      <c r="F171" s="4"/>
      <c r="G171" s="4"/>
      <c r="H171" s="4"/>
      <c r="I171" s="4"/>
    </row>
    <row r="172" ht="15.75" customHeight="1">
      <c r="A172" s="4"/>
      <c r="B172" s="4"/>
      <c r="C172" s="4"/>
      <c r="D172" s="4"/>
      <c r="E172" s="4"/>
      <c r="F172" s="4"/>
      <c r="G172" s="4"/>
      <c r="H172" s="4"/>
      <c r="I172" s="4"/>
    </row>
    <row r="173" ht="15.75" customHeight="1">
      <c r="A173" s="4"/>
      <c r="B173" s="4"/>
      <c r="C173" s="4"/>
      <c r="D173" s="4"/>
      <c r="E173" s="4"/>
      <c r="F173" s="4"/>
      <c r="G173" s="4"/>
      <c r="H173" s="4"/>
      <c r="I173" s="4"/>
    </row>
    <row r="174" ht="15.75" customHeight="1">
      <c r="A174" s="4"/>
      <c r="B174" s="4"/>
      <c r="C174" s="4"/>
      <c r="D174" s="4"/>
      <c r="E174" s="4"/>
      <c r="F174" s="4"/>
      <c r="G174" s="4"/>
      <c r="H174" s="4"/>
      <c r="I174" s="4"/>
    </row>
    <row r="175" ht="15.75" customHeight="1">
      <c r="A175" s="4"/>
      <c r="B175" s="4"/>
      <c r="C175" s="4"/>
      <c r="D175" s="4"/>
      <c r="E175" s="4"/>
      <c r="F175" s="4"/>
      <c r="G175" s="4"/>
      <c r="H175" s="4"/>
      <c r="I175" s="4"/>
    </row>
    <row r="176" ht="15.75" customHeight="1">
      <c r="A176" s="4"/>
      <c r="B176" s="4"/>
      <c r="C176" s="4"/>
      <c r="D176" s="4"/>
      <c r="E176" s="4"/>
      <c r="F176" s="4"/>
      <c r="G176" s="4"/>
      <c r="H176" s="4"/>
      <c r="I176" s="4"/>
    </row>
    <row r="177" ht="15.75" customHeight="1">
      <c r="A177" s="4"/>
      <c r="B177" s="4"/>
      <c r="C177" s="4"/>
      <c r="D177" s="4"/>
      <c r="E177" s="4"/>
      <c r="F177" s="4"/>
      <c r="G177" s="4"/>
      <c r="H177" s="4"/>
      <c r="I177" s="4"/>
    </row>
    <row r="178" ht="15.75" customHeight="1">
      <c r="A178" s="4"/>
      <c r="B178" s="4"/>
      <c r="C178" s="4"/>
      <c r="D178" s="4"/>
      <c r="E178" s="4"/>
      <c r="F178" s="4"/>
      <c r="G178" s="4"/>
      <c r="H178" s="4"/>
      <c r="I178" s="4"/>
    </row>
    <row r="179" ht="15.75" customHeight="1">
      <c r="A179" s="4"/>
      <c r="B179" s="4"/>
      <c r="C179" s="4"/>
      <c r="D179" s="4"/>
      <c r="E179" s="4"/>
      <c r="F179" s="4"/>
      <c r="G179" s="4"/>
      <c r="H179" s="4"/>
      <c r="I179" s="4"/>
    </row>
    <row r="180" ht="15.75" customHeight="1">
      <c r="A180" s="4"/>
      <c r="B180" s="4"/>
      <c r="C180" s="4"/>
      <c r="D180" s="4"/>
      <c r="E180" s="4"/>
      <c r="F180" s="4"/>
      <c r="G180" s="4"/>
      <c r="H180" s="4"/>
      <c r="I180" s="4"/>
    </row>
    <row r="181" ht="15.75" customHeight="1">
      <c r="A181" s="4"/>
      <c r="B181" s="4"/>
      <c r="C181" s="4"/>
      <c r="D181" s="4"/>
      <c r="E181" s="4"/>
      <c r="F181" s="4"/>
      <c r="G181" s="4"/>
      <c r="H181" s="4"/>
      <c r="I181" s="4"/>
    </row>
    <row r="182" ht="15.75" customHeight="1">
      <c r="A182" s="4"/>
      <c r="B182" s="4"/>
      <c r="C182" s="4"/>
      <c r="D182" s="4"/>
      <c r="E182" s="4"/>
      <c r="F182" s="4"/>
      <c r="G182" s="4"/>
      <c r="H182" s="4"/>
      <c r="I182" s="4"/>
    </row>
    <row r="183" ht="15.75" customHeight="1">
      <c r="A183" s="4"/>
      <c r="B183" s="4"/>
      <c r="C183" s="4"/>
      <c r="D183" s="4"/>
      <c r="E183" s="4"/>
      <c r="F183" s="4"/>
      <c r="G183" s="4"/>
      <c r="H183" s="4"/>
      <c r="I183" s="4"/>
    </row>
    <row r="184" ht="15.75" customHeight="1">
      <c r="A184" s="4"/>
      <c r="B184" s="4"/>
      <c r="C184" s="4"/>
      <c r="D184" s="4"/>
      <c r="E184" s="4"/>
      <c r="F184" s="4"/>
      <c r="G184" s="4"/>
      <c r="H184" s="4"/>
      <c r="I184" s="4"/>
    </row>
    <row r="185" ht="15.75" customHeight="1">
      <c r="A185" s="4"/>
      <c r="B185" s="4"/>
      <c r="C185" s="4"/>
      <c r="D185" s="4"/>
      <c r="E185" s="4"/>
      <c r="F185" s="4"/>
      <c r="G185" s="4"/>
      <c r="H185" s="4"/>
      <c r="I185" s="4"/>
    </row>
    <row r="186" ht="15.75" customHeight="1">
      <c r="A186" s="4"/>
      <c r="B186" s="4"/>
      <c r="C186" s="4"/>
      <c r="D186" s="4"/>
      <c r="E186" s="4"/>
      <c r="F186" s="4"/>
      <c r="G186" s="4"/>
      <c r="H186" s="4"/>
      <c r="I186" s="4"/>
    </row>
    <row r="187" ht="15.75" customHeight="1">
      <c r="A187" s="4"/>
      <c r="B187" s="4"/>
      <c r="C187" s="4"/>
      <c r="D187" s="4"/>
      <c r="E187" s="4"/>
      <c r="F187" s="4"/>
      <c r="G187" s="4"/>
      <c r="H187" s="4"/>
      <c r="I187" s="4"/>
    </row>
    <row r="188" ht="15.75" customHeight="1">
      <c r="A188" s="4"/>
      <c r="B188" s="4"/>
      <c r="C188" s="4"/>
      <c r="D188" s="4"/>
      <c r="E188" s="4"/>
      <c r="F188" s="4"/>
      <c r="G188" s="4"/>
      <c r="H188" s="4"/>
      <c r="I188" s="4"/>
    </row>
    <row r="189" ht="15.75" customHeight="1">
      <c r="A189" s="4"/>
      <c r="B189" s="4"/>
      <c r="C189" s="4"/>
      <c r="D189" s="4"/>
      <c r="E189" s="4"/>
      <c r="F189" s="4"/>
      <c r="G189" s="4"/>
      <c r="H189" s="4"/>
      <c r="I189" s="4"/>
    </row>
    <row r="190" ht="15.75" customHeight="1">
      <c r="A190" s="4"/>
      <c r="B190" s="4"/>
      <c r="C190" s="4"/>
      <c r="D190" s="4"/>
      <c r="E190" s="4"/>
      <c r="F190" s="4"/>
      <c r="G190" s="4"/>
      <c r="H190" s="4"/>
      <c r="I190" s="4"/>
    </row>
    <row r="191" ht="15.75" customHeight="1">
      <c r="A191" s="4"/>
      <c r="B191" s="4"/>
      <c r="C191" s="4"/>
      <c r="D191" s="4"/>
      <c r="E191" s="4"/>
      <c r="F191" s="4"/>
      <c r="G191" s="4"/>
      <c r="H191" s="4"/>
      <c r="I191" s="4"/>
    </row>
    <row r="192" ht="15.75" customHeight="1">
      <c r="A192" s="4"/>
      <c r="B192" s="4"/>
      <c r="C192" s="4"/>
      <c r="D192" s="4"/>
      <c r="E192" s="4"/>
      <c r="F192" s="4"/>
      <c r="G192" s="4"/>
      <c r="H192" s="4"/>
      <c r="I192" s="4"/>
    </row>
    <row r="193" ht="15.75" customHeight="1">
      <c r="A193" s="4"/>
      <c r="B193" s="4"/>
      <c r="C193" s="4"/>
      <c r="D193" s="4"/>
      <c r="E193" s="4"/>
      <c r="F193" s="4"/>
      <c r="G193" s="4"/>
      <c r="H193" s="4"/>
      <c r="I193" s="4"/>
    </row>
    <row r="194" ht="15.75" customHeight="1">
      <c r="A194" s="4"/>
      <c r="B194" s="4"/>
      <c r="C194" s="4"/>
      <c r="D194" s="4"/>
      <c r="E194" s="4"/>
      <c r="F194" s="4"/>
      <c r="G194" s="4"/>
      <c r="H194" s="4"/>
      <c r="I194" s="4"/>
    </row>
    <row r="195" ht="15.75" customHeight="1">
      <c r="A195" s="4"/>
      <c r="B195" s="4"/>
      <c r="C195" s="4"/>
      <c r="D195" s="4"/>
      <c r="E195" s="4"/>
      <c r="F195" s="4"/>
      <c r="G195" s="4"/>
      <c r="H195" s="4"/>
      <c r="I195" s="4"/>
    </row>
    <row r="196" ht="15.75" customHeight="1">
      <c r="A196" s="4"/>
      <c r="B196" s="4"/>
      <c r="C196" s="4"/>
      <c r="D196" s="4"/>
      <c r="E196" s="4"/>
      <c r="F196" s="4"/>
      <c r="G196" s="4"/>
      <c r="H196" s="4"/>
      <c r="I196" s="4"/>
    </row>
    <row r="197" ht="15.75" customHeight="1">
      <c r="A197" s="4"/>
      <c r="B197" s="4"/>
      <c r="C197" s="4"/>
      <c r="D197" s="4"/>
      <c r="E197" s="4"/>
      <c r="F197" s="4"/>
      <c r="G197" s="4"/>
      <c r="H197" s="4"/>
      <c r="I197" s="4"/>
    </row>
    <row r="198" ht="15.75" customHeight="1">
      <c r="A198" s="4"/>
      <c r="B198" s="4"/>
      <c r="C198" s="4"/>
      <c r="D198" s="4"/>
      <c r="E198" s="4"/>
      <c r="F198" s="4"/>
      <c r="G198" s="4"/>
      <c r="H198" s="4"/>
      <c r="I198" s="4"/>
    </row>
    <row r="199" ht="15.75" customHeight="1">
      <c r="A199" s="4"/>
      <c r="B199" s="4"/>
      <c r="C199" s="4"/>
      <c r="D199" s="4"/>
      <c r="E199" s="4"/>
      <c r="F199" s="4"/>
      <c r="G199" s="4"/>
      <c r="H199" s="4"/>
      <c r="I199" s="4"/>
    </row>
    <row r="200" ht="15.75" customHeight="1">
      <c r="A200" s="4"/>
      <c r="B200" s="4"/>
      <c r="C200" s="4"/>
      <c r="D200" s="4"/>
      <c r="E200" s="4"/>
      <c r="F200" s="4"/>
      <c r="G200" s="4"/>
      <c r="H200" s="4"/>
      <c r="I200" s="4"/>
    </row>
    <row r="201" ht="15.75" customHeight="1">
      <c r="A201" s="4"/>
      <c r="B201" s="4"/>
      <c r="C201" s="4"/>
      <c r="D201" s="4"/>
      <c r="E201" s="4"/>
      <c r="F201" s="4"/>
      <c r="G201" s="4"/>
      <c r="H201" s="4"/>
      <c r="I201" s="4"/>
    </row>
    <row r="202" ht="15.75" customHeight="1">
      <c r="A202" s="4"/>
      <c r="B202" s="4"/>
      <c r="C202" s="4"/>
      <c r="D202" s="4"/>
      <c r="E202" s="4"/>
      <c r="F202" s="4"/>
      <c r="G202" s="4"/>
      <c r="H202" s="4"/>
      <c r="I202" s="4"/>
    </row>
    <row r="203" ht="15.75" customHeight="1">
      <c r="A203" s="4"/>
      <c r="B203" s="4"/>
      <c r="C203" s="4"/>
      <c r="D203" s="4"/>
      <c r="E203" s="4"/>
      <c r="F203" s="4"/>
      <c r="G203" s="4"/>
      <c r="H203" s="4"/>
      <c r="I203" s="4"/>
    </row>
    <row r="204" ht="15.75" customHeight="1">
      <c r="A204" s="4"/>
      <c r="B204" s="4"/>
      <c r="C204" s="4"/>
      <c r="D204" s="4"/>
      <c r="E204" s="4"/>
      <c r="F204" s="4"/>
      <c r="G204" s="4"/>
      <c r="H204" s="4"/>
      <c r="I204" s="4"/>
    </row>
    <row r="205" ht="15.75" customHeight="1">
      <c r="A205" s="4"/>
      <c r="B205" s="4"/>
      <c r="C205" s="4"/>
      <c r="D205" s="4"/>
      <c r="E205" s="4"/>
      <c r="F205" s="4"/>
      <c r="G205" s="4"/>
      <c r="H205" s="4"/>
      <c r="I205" s="4"/>
    </row>
    <row r="206" ht="15.75" customHeight="1">
      <c r="A206" s="4"/>
      <c r="B206" s="4"/>
      <c r="C206" s="4"/>
      <c r="D206" s="4"/>
      <c r="E206" s="4"/>
      <c r="F206" s="4"/>
      <c r="G206" s="4"/>
      <c r="H206" s="4"/>
      <c r="I206" s="4"/>
    </row>
    <row r="207" ht="15.75" customHeight="1">
      <c r="A207" s="4"/>
      <c r="B207" s="4"/>
      <c r="C207" s="4"/>
      <c r="D207" s="4"/>
      <c r="E207" s="4"/>
      <c r="F207" s="4"/>
      <c r="G207" s="4"/>
      <c r="H207" s="4"/>
      <c r="I207" s="4"/>
    </row>
    <row r="208" ht="15.75" customHeight="1">
      <c r="A208" s="4"/>
      <c r="B208" s="4"/>
      <c r="C208" s="4"/>
      <c r="D208" s="4"/>
      <c r="E208" s="4"/>
      <c r="F208" s="4"/>
      <c r="G208" s="4"/>
      <c r="H208" s="4"/>
      <c r="I208" s="4"/>
    </row>
    <row r="209" ht="15.75" customHeight="1">
      <c r="A209" s="4"/>
      <c r="B209" s="4"/>
      <c r="C209" s="4"/>
      <c r="D209" s="4"/>
      <c r="E209" s="4"/>
      <c r="F209" s="4"/>
      <c r="G209" s="4"/>
      <c r="H209" s="4"/>
      <c r="I209" s="4"/>
    </row>
    <row r="210" ht="15.75" customHeight="1">
      <c r="A210" s="4"/>
      <c r="B210" s="4"/>
      <c r="C210" s="4"/>
      <c r="D210" s="4"/>
      <c r="E210" s="4"/>
      <c r="F210" s="4"/>
      <c r="G210" s="4"/>
      <c r="H210" s="4"/>
      <c r="I210" s="4"/>
    </row>
    <row r="211" ht="15.75" customHeight="1">
      <c r="A211" s="4"/>
      <c r="B211" s="4"/>
      <c r="C211" s="4"/>
      <c r="D211" s="4"/>
      <c r="E211" s="4"/>
      <c r="F211" s="4"/>
      <c r="G211" s="4"/>
      <c r="H211" s="4"/>
      <c r="I211" s="4"/>
    </row>
    <row r="212" ht="15.75" customHeight="1">
      <c r="A212" s="4"/>
      <c r="B212" s="4"/>
      <c r="C212" s="4"/>
      <c r="D212" s="4"/>
      <c r="E212" s="4"/>
      <c r="F212" s="4"/>
      <c r="G212" s="4"/>
      <c r="H212" s="4"/>
      <c r="I212" s="4"/>
    </row>
    <row r="213" ht="15.75" customHeight="1">
      <c r="A213" s="4"/>
      <c r="B213" s="4"/>
      <c r="C213" s="4"/>
      <c r="D213" s="4"/>
      <c r="E213" s="4"/>
      <c r="F213" s="4"/>
      <c r="G213" s="4"/>
      <c r="H213" s="4"/>
      <c r="I213" s="4"/>
    </row>
    <row r="214" ht="15.75" customHeight="1">
      <c r="A214" s="4"/>
      <c r="B214" s="4"/>
      <c r="C214" s="4"/>
      <c r="D214" s="4"/>
      <c r="E214" s="4"/>
      <c r="F214" s="4"/>
      <c r="G214" s="4"/>
      <c r="H214" s="4"/>
      <c r="I214" s="4"/>
    </row>
    <row r="215" ht="15.75" customHeight="1">
      <c r="A215" s="4"/>
      <c r="B215" s="4"/>
      <c r="C215" s="4"/>
      <c r="D215" s="4"/>
      <c r="E215" s="4"/>
      <c r="F215" s="4"/>
      <c r="G215" s="4"/>
      <c r="H215" s="4"/>
      <c r="I215" s="4"/>
    </row>
    <row r="216" ht="15.75" customHeight="1">
      <c r="A216" s="4"/>
      <c r="B216" s="4"/>
      <c r="C216" s="4"/>
      <c r="D216" s="4"/>
      <c r="E216" s="4"/>
      <c r="F216" s="4"/>
      <c r="G216" s="4"/>
      <c r="H216" s="4"/>
      <c r="I216" s="4"/>
    </row>
    <row r="217" ht="15.75" customHeight="1">
      <c r="A217" s="4"/>
      <c r="B217" s="4"/>
      <c r="C217" s="4"/>
      <c r="D217" s="4"/>
      <c r="E217" s="4"/>
      <c r="F217" s="4"/>
      <c r="G217" s="4"/>
      <c r="H217" s="4"/>
      <c r="I217" s="4"/>
    </row>
    <row r="218" ht="15.75" customHeight="1">
      <c r="A218" s="4"/>
      <c r="B218" s="4"/>
      <c r="C218" s="4"/>
      <c r="D218" s="4"/>
      <c r="E218" s="4"/>
      <c r="F218" s="4"/>
      <c r="G218" s="4"/>
      <c r="H218" s="4"/>
      <c r="I218" s="4"/>
    </row>
    <row r="219" ht="15.75" customHeight="1">
      <c r="A219" s="4"/>
      <c r="B219" s="4"/>
      <c r="C219" s="4"/>
      <c r="D219" s="4"/>
      <c r="E219" s="4"/>
      <c r="F219" s="4"/>
      <c r="G219" s="4"/>
      <c r="H219" s="4"/>
      <c r="I219" s="4"/>
    </row>
    <row r="220" ht="15.75" customHeight="1">
      <c r="A220" s="4"/>
      <c r="B220" s="4"/>
      <c r="C220" s="4"/>
      <c r="D220" s="4"/>
      <c r="E220" s="4"/>
      <c r="F220" s="4"/>
      <c r="G220" s="4"/>
      <c r="H220" s="4"/>
      <c r="I220" s="4"/>
    </row>
    <row r="221" ht="15.75" customHeight="1">
      <c r="A221" s="4"/>
      <c r="B221" s="4"/>
      <c r="C221" s="4"/>
      <c r="D221" s="4"/>
      <c r="E221" s="4"/>
      <c r="F221" s="4"/>
      <c r="G221" s="4"/>
      <c r="H221" s="4"/>
      <c r="I221" s="4"/>
    </row>
    <row r="222" ht="15.75" customHeight="1">
      <c r="A222" s="4"/>
      <c r="B222" s="4"/>
      <c r="C222" s="4"/>
      <c r="D222" s="4"/>
      <c r="E222" s="4"/>
      <c r="F222" s="4"/>
      <c r="G222" s="4"/>
      <c r="H222" s="4"/>
      <c r="I222" s="4"/>
    </row>
    <row r="223" ht="15.75" customHeight="1">
      <c r="A223" s="4"/>
      <c r="B223" s="4"/>
      <c r="C223" s="4"/>
      <c r="D223" s="4"/>
      <c r="E223" s="4"/>
      <c r="F223" s="4"/>
      <c r="G223" s="4"/>
      <c r="H223" s="4"/>
      <c r="I223" s="4"/>
    </row>
    <row r="224" ht="15.75" customHeight="1">
      <c r="A224" s="4"/>
      <c r="B224" s="4"/>
      <c r="C224" s="4"/>
      <c r="D224" s="4"/>
      <c r="E224" s="4"/>
      <c r="F224" s="4"/>
      <c r="G224" s="4"/>
      <c r="H224" s="4"/>
      <c r="I224" s="4"/>
    </row>
    <row r="225" ht="15.75" customHeight="1">
      <c r="A225" s="4"/>
      <c r="B225" s="4"/>
      <c r="C225" s="4"/>
      <c r="D225" s="4"/>
      <c r="E225" s="4"/>
      <c r="F225" s="4"/>
      <c r="G225" s="4"/>
      <c r="H225" s="4"/>
      <c r="I225" s="4"/>
    </row>
    <row r="226" ht="15.75" customHeight="1">
      <c r="A226" s="4"/>
      <c r="B226" s="4"/>
      <c r="C226" s="4"/>
      <c r="D226" s="4"/>
      <c r="E226" s="4"/>
      <c r="F226" s="4"/>
      <c r="G226" s="4"/>
      <c r="H226" s="4"/>
      <c r="I226" s="4"/>
    </row>
    <row r="227" ht="15.75" customHeight="1">
      <c r="A227" s="4"/>
      <c r="B227" s="4"/>
      <c r="C227" s="4"/>
      <c r="D227" s="4"/>
      <c r="E227" s="4"/>
      <c r="F227" s="4"/>
      <c r="G227" s="4"/>
      <c r="H227" s="4"/>
      <c r="I227" s="4"/>
    </row>
    <row r="228" ht="15.75" customHeight="1">
      <c r="A228" s="4"/>
      <c r="B228" s="4"/>
      <c r="C228" s="4"/>
      <c r="D228" s="4"/>
      <c r="E228" s="4"/>
      <c r="F228" s="4"/>
      <c r="G228" s="4"/>
      <c r="H228" s="4"/>
      <c r="I228" s="4"/>
    </row>
    <row r="229" ht="15.75" customHeight="1">
      <c r="A229" s="4"/>
      <c r="B229" s="4"/>
      <c r="C229" s="4"/>
      <c r="D229" s="4"/>
      <c r="E229" s="4"/>
      <c r="F229" s="4"/>
      <c r="G229" s="4"/>
      <c r="H229" s="4"/>
      <c r="I229" s="4"/>
    </row>
    <row r="230" ht="15.75" customHeight="1">
      <c r="A230" s="4"/>
      <c r="B230" s="4"/>
      <c r="C230" s="4"/>
      <c r="D230" s="4"/>
      <c r="E230" s="4"/>
      <c r="F230" s="4"/>
      <c r="G230" s="4"/>
      <c r="H230" s="4"/>
      <c r="I230" s="4"/>
    </row>
    <row r="231" ht="15.75" customHeight="1">
      <c r="A231" s="4"/>
      <c r="B231" s="4"/>
      <c r="C231" s="4"/>
      <c r="D231" s="4"/>
      <c r="E231" s="4"/>
      <c r="F231" s="4"/>
      <c r="G231" s="4"/>
      <c r="H231" s="4"/>
      <c r="I231" s="4"/>
    </row>
    <row r="232" ht="15.75" customHeight="1">
      <c r="A232" s="4"/>
      <c r="B232" s="4"/>
      <c r="C232" s="4"/>
      <c r="D232" s="4"/>
      <c r="E232" s="4"/>
      <c r="F232" s="4"/>
      <c r="G232" s="4"/>
      <c r="H232" s="4"/>
      <c r="I232" s="4"/>
    </row>
    <row r="233" ht="15.75" customHeight="1">
      <c r="A233" s="4"/>
      <c r="B233" s="4"/>
      <c r="C233" s="4"/>
      <c r="D233" s="4"/>
      <c r="E233" s="4"/>
      <c r="F233" s="4"/>
      <c r="G233" s="4"/>
      <c r="H233" s="4"/>
      <c r="I233" s="4"/>
    </row>
    <row r="234" ht="15.75" customHeight="1">
      <c r="A234" s="4"/>
      <c r="B234" s="4"/>
      <c r="C234" s="4"/>
      <c r="D234" s="4"/>
      <c r="E234" s="4"/>
      <c r="F234" s="4"/>
      <c r="G234" s="4"/>
      <c r="H234" s="4"/>
      <c r="I234" s="4"/>
    </row>
    <row r="235" ht="15.75" customHeight="1">
      <c r="A235" s="4"/>
      <c r="B235" s="4"/>
      <c r="C235" s="4"/>
      <c r="D235" s="4"/>
      <c r="E235" s="4"/>
      <c r="F235" s="4"/>
      <c r="G235" s="4"/>
      <c r="H235" s="4"/>
      <c r="I235" s="4"/>
    </row>
    <row r="236" ht="15.75" customHeight="1">
      <c r="A236" s="4"/>
      <c r="B236" s="4"/>
      <c r="C236" s="4"/>
      <c r="D236" s="4"/>
      <c r="E236" s="4"/>
      <c r="F236" s="4"/>
      <c r="G236" s="4"/>
      <c r="H236" s="4"/>
      <c r="I236" s="4"/>
    </row>
    <row r="237" ht="15.75" customHeight="1">
      <c r="A237" s="4"/>
      <c r="B237" s="4"/>
      <c r="C237" s="4"/>
      <c r="D237" s="4"/>
      <c r="E237" s="4"/>
      <c r="F237" s="4"/>
      <c r="G237" s="4"/>
      <c r="H237" s="4"/>
      <c r="I237" s="4"/>
    </row>
    <row r="238" ht="15.75" customHeight="1">
      <c r="A238" s="4"/>
      <c r="B238" s="4"/>
      <c r="C238" s="4"/>
      <c r="D238" s="4"/>
      <c r="E238" s="4"/>
      <c r="F238" s="4"/>
      <c r="G238" s="4"/>
      <c r="H238" s="4"/>
      <c r="I238" s="4"/>
    </row>
    <row r="239" ht="15.75" customHeight="1">
      <c r="A239" s="4"/>
      <c r="B239" s="4"/>
      <c r="C239" s="4"/>
      <c r="D239" s="4"/>
      <c r="E239" s="4"/>
      <c r="F239" s="4"/>
      <c r="G239" s="4"/>
      <c r="H239" s="4"/>
      <c r="I239" s="4"/>
    </row>
    <row r="240" ht="15.75" customHeight="1">
      <c r="A240" s="4"/>
      <c r="B240" s="4"/>
      <c r="C240" s="4"/>
      <c r="D240" s="4"/>
      <c r="E240" s="4"/>
      <c r="F240" s="4"/>
      <c r="G240" s="4"/>
      <c r="H240" s="4"/>
      <c r="I240" s="4"/>
    </row>
    <row r="241" ht="15.75" customHeight="1">
      <c r="A241" s="4"/>
      <c r="B241" s="4"/>
      <c r="C241" s="4"/>
      <c r="D241" s="4"/>
      <c r="E241" s="4"/>
      <c r="F241" s="4"/>
      <c r="G241" s="4"/>
      <c r="H241" s="4"/>
      <c r="I241" s="4"/>
    </row>
    <row r="242" ht="15.75" customHeight="1">
      <c r="A242" s="4"/>
      <c r="B242" s="4"/>
      <c r="C242" s="4"/>
      <c r="D242" s="4"/>
      <c r="E242" s="4"/>
      <c r="F242" s="4"/>
      <c r="G242" s="4"/>
      <c r="H242" s="4"/>
      <c r="I242" s="4"/>
    </row>
    <row r="243" ht="15.75" customHeight="1">
      <c r="A243" s="4"/>
      <c r="B243" s="4"/>
      <c r="C243" s="4"/>
      <c r="D243" s="4"/>
      <c r="E243" s="4"/>
      <c r="F243" s="4"/>
      <c r="G243" s="4"/>
      <c r="H243" s="4"/>
      <c r="I243" s="4"/>
    </row>
    <row r="244" ht="15.75" customHeight="1">
      <c r="A244" s="4"/>
      <c r="B244" s="4"/>
      <c r="C244" s="4"/>
      <c r="D244" s="4"/>
      <c r="E244" s="4"/>
      <c r="F244" s="4"/>
      <c r="G244" s="4"/>
      <c r="H244" s="4"/>
      <c r="I244" s="4"/>
    </row>
    <row r="245" ht="15.75" customHeight="1">
      <c r="A245" s="4"/>
      <c r="B245" s="4"/>
      <c r="C245" s="4"/>
      <c r="D245" s="4"/>
      <c r="E245" s="4"/>
      <c r="F245" s="4"/>
      <c r="G245" s="4"/>
      <c r="H245" s="4"/>
      <c r="I245" s="4"/>
    </row>
    <row r="246" ht="15.75" customHeight="1">
      <c r="A246" s="4"/>
      <c r="B246" s="4"/>
      <c r="C246" s="4"/>
      <c r="D246" s="4"/>
      <c r="E246" s="4"/>
      <c r="F246" s="4"/>
      <c r="G246" s="4"/>
      <c r="H246" s="4"/>
      <c r="I246" s="4"/>
    </row>
    <row r="247" ht="15.75" customHeight="1">
      <c r="A247" s="4"/>
      <c r="B247" s="4"/>
      <c r="C247" s="4"/>
      <c r="D247" s="4"/>
      <c r="E247" s="4"/>
      <c r="F247" s="4"/>
      <c r="G247" s="4"/>
      <c r="H247" s="4"/>
      <c r="I247" s="4"/>
    </row>
    <row r="248" ht="15.75" customHeight="1">
      <c r="A248" s="4"/>
      <c r="B248" s="4"/>
      <c r="C248" s="4"/>
      <c r="D248" s="4"/>
      <c r="E248" s="4"/>
      <c r="F248" s="4"/>
      <c r="G248" s="4"/>
      <c r="H248" s="4"/>
      <c r="I248" s="4"/>
    </row>
    <row r="249" ht="15.75" customHeight="1">
      <c r="A249" s="4"/>
      <c r="B249" s="4"/>
      <c r="C249" s="4"/>
      <c r="D249" s="4"/>
      <c r="E249" s="4"/>
      <c r="F249" s="4"/>
      <c r="G249" s="4"/>
      <c r="H249" s="4"/>
      <c r="I249" s="4"/>
    </row>
    <row r="250" ht="15.75" customHeight="1">
      <c r="A250" s="4"/>
      <c r="B250" s="4"/>
      <c r="C250" s="4"/>
      <c r="D250" s="4"/>
      <c r="E250" s="4"/>
      <c r="F250" s="4"/>
      <c r="G250" s="4"/>
      <c r="H250" s="4"/>
      <c r="I250" s="4"/>
    </row>
    <row r="251" ht="15.75" customHeight="1">
      <c r="A251" s="4"/>
      <c r="B251" s="4"/>
      <c r="C251" s="4"/>
      <c r="D251" s="4"/>
      <c r="E251" s="4"/>
      <c r="F251" s="4"/>
      <c r="G251" s="4"/>
      <c r="H251" s="4"/>
      <c r="I251" s="4"/>
    </row>
    <row r="252" ht="15.75" customHeight="1">
      <c r="A252" s="4"/>
      <c r="B252" s="4"/>
      <c r="C252" s="4"/>
      <c r="D252" s="4"/>
      <c r="E252" s="4"/>
      <c r="F252" s="4"/>
      <c r="G252" s="4"/>
      <c r="H252" s="4"/>
      <c r="I252" s="4"/>
    </row>
    <row r="253" ht="15.75" customHeight="1">
      <c r="A253" s="4"/>
      <c r="B253" s="4"/>
      <c r="C253" s="4"/>
      <c r="D253" s="4"/>
      <c r="E253" s="4"/>
      <c r="F253" s="4"/>
      <c r="G253" s="4"/>
      <c r="H253" s="4"/>
      <c r="I253" s="4"/>
    </row>
    <row r="254" ht="15.75" customHeight="1">
      <c r="A254" s="4"/>
      <c r="B254" s="4"/>
      <c r="C254" s="4"/>
      <c r="D254" s="4"/>
      <c r="E254" s="4"/>
      <c r="F254" s="4"/>
      <c r="G254" s="4"/>
      <c r="H254" s="4"/>
      <c r="I254" s="4"/>
    </row>
    <row r="255" ht="15.75" customHeight="1">
      <c r="A255" s="4"/>
      <c r="B255" s="4"/>
      <c r="C255" s="4"/>
      <c r="D255" s="4"/>
      <c r="E255" s="4"/>
      <c r="F255" s="4"/>
      <c r="G255" s="4"/>
      <c r="H255" s="4"/>
      <c r="I255" s="4"/>
    </row>
    <row r="256" ht="15.75" customHeight="1">
      <c r="A256" s="4"/>
      <c r="B256" s="4"/>
      <c r="C256" s="4"/>
      <c r="D256" s="4"/>
      <c r="E256" s="4"/>
      <c r="F256" s="4"/>
      <c r="G256" s="4"/>
      <c r="H256" s="4"/>
      <c r="I256" s="4"/>
    </row>
    <row r="257" ht="15.75" customHeight="1">
      <c r="A257" s="4"/>
      <c r="B257" s="4"/>
      <c r="C257" s="4"/>
      <c r="D257" s="4"/>
      <c r="E257" s="4"/>
      <c r="F257" s="4"/>
      <c r="G257" s="4"/>
      <c r="H257" s="4"/>
      <c r="I257" s="4"/>
    </row>
    <row r="258" ht="15.75" customHeight="1">
      <c r="A258" s="4"/>
      <c r="B258" s="4"/>
      <c r="C258" s="4"/>
      <c r="D258" s="4"/>
      <c r="E258" s="4"/>
      <c r="F258" s="4"/>
      <c r="G258" s="4"/>
      <c r="H258" s="4"/>
      <c r="I258" s="4"/>
    </row>
    <row r="259" ht="15.75" customHeight="1">
      <c r="A259" s="4"/>
      <c r="B259" s="4"/>
      <c r="C259" s="4"/>
      <c r="D259" s="4"/>
      <c r="E259" s="4"/>
      <c r="F259" s="4"/>
      <c r="G259" s="4"/>
      <c r="H259" s="4"/>
      <c r="I259" s="4"/>
    </row>
    <row r="260" ht="15.75" customHeight="1">
      <c r="A260" s="4"/>
      <c r="B260" s="4"/>
      <c r="C260" s="4"/>
      <c r="D260" s="4"/>
      <c r="E260" s="4"/>
      <c r="F260" s="4"/>
      <c r="G260" s="4"/>
      <c r="H260" s="4"/>
      <c r="I260" s="4"/>
    </row>
    <row r="261" ht="15.75" customHeight="1">
      <c r="A261" s="4"/>
      <c r="B261" s="4"/>
      <c r="C261" s="4"/>
      <c r="D261" s="4"/>
      <c r="E261" s="4"/>
      <c r="F261" s="4"/>
      <c r="G261" s="4"/>
      <c r="H261" s="4"/>
      <c r="I261" s="4"/>
    </row>
    <row r="262" ht="15.75" customHeight="1">
      <c r="A262" s="4"/>
      <c r="B262" s="4"/>
      <c r="C262" s="4"/>
      <c r="D262" s="4"/>
      <c r="E262" s="4"/>
      <c r="F262" s="4"/>
      <c r="G262" s="4"/>
      <c r="H262" s="4"/>
      <c r="I262" s="4"/>
    </row>
    <row r="263" ht="15.75" customHeight="1">
      <c r="A263" s="4"/>
      <c r="B263" s="4"/>
      <c r="C263" s="4"/>
      <c r="D263" s="4"/>
      <c r="E263" s="4"/>
      <c r="F263" s="4"/>
      <c r="G263" s="4"/>
      <c r="H263" s="4"/>
      <c r="I263" s="4"/>
    </row>
    <row r="264" ht="15.75" customHeight="1">
      <c r="A264" s="4"/>
      <c r="B264" s="4"/>
      <c r="C264" s="4"/>
      <c r="D264" s="4"/>
      <c r="E264" s="4"/>
      <c r="F264" s="4"/>
      <c r="G264" s="4"/>
      <c r="H264" s="4"/>
      <c r="I264" s="4"/>
    </row>
    <row r="265" ht="15.75" customHeight="1">
      <c r="A265" s="4"/>
      <c r="B265" s="4"/>
      <c r="C265" s="4"/>
      <c r="D265" s="4"/>
      <c r="E265" s="4"/>
      <c r="F265" s="4"/>
      <c r="G265" s="4"/>
      <c r="H265" s="4"/>
      <c r="I265" s="4"/>
    </row>
    <row r="266" ht="15.75" customHeight="1">
      <c r="A266" s="4"/>
      <c r="B266" s="4"/>
      <c r="C266" s="4"/>
      <c r="D266" s="4"/>
      <c r="E266" s="4"/>
      <c r="F266" s="4"/>
      <c r="G266" s="4"/>
      <c r="H266" s="4"/>
      <c r="I266" s="4"/>
    </row>
    <row r="267" ht="15.75" customHeight="1">
      <c r="A267" s="4"/>
      <c r="B267" s="4"/>
      <c r="C267" s="4"/>
      <c r="D267" s="4"/>
      <c r="E267" s="4"/>
      <c r="F267" s="4"/>
      <c r="G267" s="4"/>
      <c r="H267" s="4"/>
      <c r="I267" s="4"/>
    </row>
    <row r="268" ht="15.75" customHeight="1">
      <c r="A268" s="4"/>
      <c r="B268" s="4"/>
      <c r="C268" s="4"/>
      <c r="D268" s="4"/>
      <c r="E268" s="4"/>
      <c r="F268" s="4"/>
      <c r="G268" s="4"/>
      <c r="H268" s="4"/>
      <c r="I268" s="4"/>
    </row>
    <row r="269" ht="15.75" customHeight="1">
      <c r="A269" s="4"/>
      <c r="B269" s="4"/>
      <c r="C269" s="4"/>
      <c r="D269" s="4"/>
      <c r="E269" s="4"/>
      <c r="F269" s="4"/>
      <c r="G269" s="4"/>
      <c r="H269" s="4"/>
      <c r="I269" s="4"/>
    </row>
    <row r="270" ht="15.75" customHeight="1">
      <c r="A270" s="4"/>
      <c r="B270" s="4"/>
      <c r="C270" s="4"/>
      <c r="D270" s="4"/>
      <c r="E270" s="4"/>
      <c r="F270" s="4"/>
      <c r="G270" s="4"/>
      <c r="H270" s="4"/>
      <c r="I270" s="4"/>
    </row>
    <row r="271" ht="15.75" customHeight="1">
      <c r="A271" s="4"/>
      <c r="B271" s="4"/>
      <c r="C271" s="4"/>
      <c r="D271" s="4"/>
      <c r="E271" s="4"/>
      <c r="F271" s="4"/>
      <c r="G271" s="4"/>
      <c r="H271" s="4"/>
      <c r="I271" s="4"/>
    </row>
    <row r="272" ht="15.75" customHeight="1">
      <c r="A272" s="4"/>
      <c r="B272" s="4"/>
      <c r="C272" s="4"/>
      <c r="D272" s="4"/>
      <c r="E272" s="4"/>
      <c r="F272" s="4"/>
      <c r="G272" s="4"/>
      <c r="H272" s="4"/>
      <c r="I272" s="4"/>
    </row>
    <row r="273" ht="15.75" customHeight="1">
      <c r="A273" s="4"/>
      <c r="B273" s="4"/>
      <c r="C273" s="4"/>
      <c r="D273" s="4"/>
      <c r="E273" s="4"/>
      <c r="F273" s="4"/>
      <c r="G273" s="4"/>
      <c r="H273" s="4"/>
      <c r="I273" s="4"/>
    </row>
    <row r="274" ht="15.75" customHeight="1">
      <c r="A274" s="4"/>
      <c r="B274" s="4"/>
      <c r="C274" s="4"/>
      <c r="D274" s="4"/>
      <c r="E274" s="4"/>
      <c r="F274" s="4"/>
      <c r="G274" s="4"/>
      <c r="H274" s="4"/>
      <c r="I274" s="4"/>
    </row>
    <row r="275" ht="15.75" customHeight="1">
      <c r="A275" s="4"/>
      <c r="B275" s="4"/>
      <c r="C275" s="4"/>
      <c r="D275" s="4"/>
      <c r="E275" s="4"/>
      <c r="F275" s="4"/>
      <c r="G275" s="4"/>
      <c r="H275" s="4"/>
      <c r="I275" s="4"/>
    </row>
    <row r="276" ht="15.75" customHeight="1">
      <c r="A276" s="4"/>
      <c r="B276" s="4"/>
      <c r="C276" s="4"/>
      <c r="D276" s="4"/>
      <c r="E276" s="4"/>
      <c r="F276" s="4"/>
      <c r="G276" s="4"/>
      <c r="H276" s="4"/>
      <c r="I276" s="4"/>
    </row>
    <row r="277" ht="15.75" customHeight="1">
      <c r="A277" s="4"/>
      <c r="B277" s="4"/>
      <c r="C277" s="4"/>
      <c r="D277" s="4"/>
      <c r="E277" s="4"/>
      <c r="F277" s="4"/>
      <c r="G277" s="4"/>
      <c r="H277" s="4"/>
      <c r="I277" s="4"/>
    </row>
    <row r="278" ht="15.75" customHeight="1">
      <c r="A278" s="4"/>
      <c r="B278" s="4"/>
      <c r="C278" s="4"/>
      <c r="D278" s="4"/>
      <c r="E278" s="4"/>
      <c r="F278" s="4"/>
      <c r="G278" s="4"/>
      <c r="H278" s="4"/>
      <c r="I278" s="4"/>
    </row>
    <row r="279" ht="15.75" customHeight="1">
      <c r="A279" s="4"/>
      <c r="B279" s="4"/>
      <c r="C279" s="4"/>
      <c r="D279" s="4"/>
      <c r="E279" s="4"/>
      <c r="F279" s="4"/>
      <c r="G279" s="4"/>
      <c r="H279" s="4"/>
      <c r="I279" s="4"/>
    </row>
    <row r="280" ht="15.75" customHeight="1">
      <c r="A280" s="4"/>
      <c r="B280" s="4"/>
      <c r="C280" s="4"/>
      <c r="D280" s="4"/>
      <c r="E280" s="4"/>
      <c r="F280" s="4"/>
      <c r="G280" s="4"/>
      <c r="H280" s="4"/>
      <c r="I280" s="4"/>
    </row>
    <row r="281" ht="15.75" customHeight="1">
      <c r="A281" s="4"/>
      <c r="B281" s="4"/>
      <c r="C281" s="4"/>
      <c r="D281" s="4"/>
      <c r="E281" s="4"/>
      <c r="F281" s="4"/>
      <c r="G281" s="4"/>
      <c r="H281" s="4"/>
      <c r="I281" s="4"/>
    </row>
    <row r="282" ht="15.75" customHeight="1">
      <c r="A282" s="4"/>
      <c r="B282" s="4"/>
      <c r="C282" s="4"/>
      <c r="D282" s="4"/>
      <c r="E282" s="4"/>
      <c r="F282" s="4"/>
      <c r="G282" s="4"/>
      <c r="H282" s="4"/>
      <c r="I282" s="4"/>
    </row>
    <row r="283" ht="15.75" customHeight="1">
      <c r="A283" s="4"/>
      <c r="B283" s="4"/>
      <c r="C283" s="4"/>
      <c r="D283" s="4"/>
      <c r="E283" s="4"/>
      <c r="F283" s="4"/>
      <c r="G283" s="4"/>
      <c r="H283" s="4"/>
      <c r="I283" s="4"/>
    </row>
    <row r="284" ht="15.75" customHeight="1">
      <c r="A284" s="4"/>
      <c r="B284" s="4"/>
      <c r="C284" s="4"/>
      <c r="D284" s="4"/>
      <c r="E284" s="4"/>
      <c r="F284" s="4"/>
      <c r="G284" s="4"/>
      <c r="H284" s="4"/>
      <c r="I284" s="4"/>
    </row>
    <row r="285" ht="15.75" customHeight="1">
      <c r="A285" s="4"/>
      <c r="B285" s="4"/>
      <c r="C285" s="4"/>
      <c r="D285" s="4"/>
      <c r="E285" s="4"/>
      <c r="F285" s="4"/>
      <c r="G285" s="4"/>
      <c r="H285" s="4"/>
      <c r="I285" s="4"/>
    </row>
    <row r="286" ht="15.75" customHeight="1">
      <c r="A286" s="4"/>
      <c r="B286" s="4"/>
      <c r="C286" s="4"/>
      <c r="D286" s="4"/>
      <c r="E286" s="4"/>
      <c r="F286" s="4"/>
      <c r="G286" s="4"/>
      <c r="H286" s="4"/>
      <c r="I286" s="4"/>
    </row>
    <row r="287" ht="15.75" customHeight="1">
      <c r="A287" s="4"/>
      <c r="B287" s="4"/>
      <c r="C287" s="4"/>
      <c r="D287" s="4"/>
      <c r="E287" s="4"/>
      <c r="F287" s="4"/>
      <c r="G287" s="4"/>
      <c r="H287" s="4"/>
      <c r="I287" s="4"/>
    </row>
    <row r="288" ht="15.75" customHeight="1">
      <c r="A288" s="4"/>
      <c r="B288" s="4"/>
      <c r="C288" s="4"/>
      <c r="D288" s="4"/>
      <c r="E288" s="4"/>
      <c r="F288" s="4"/>
      <c r="G288" s="4"/>
      <c r="H288" s="4"/>
      <c r="I288" s="4"/>
    </row>
    <row r="289" ht="15.75" customHeight="1">
      <c r="A289" s="4"/>
      <c r="B289" s="4"/>
      <c r="C289" s="4"/>
      <c r="D289" s="4"/>
      <c r="E289" s="4"/>
      <c r="F289" s="4"/>
      <c r="G289" s="4"/>
      <c r="H289" s="4"/>
      <c r="I289" s="4"/>
    </row>
    <row r="290" ht="15.75" customHeight="1">
      <c r="A290" s="4"/>
      <c r="B290" s="4"/>
      <c r="C290" s="4"/>
      <c r="D290" s="4"/>
      <c r="E290" s="4"/>
      <c r="F290" s="4"/>
      <c r="G290" s="4"/>
      <c r="H290" s="4"/>
      <c r="I290" s="4"/>
    </row>
    <row r="291" ht="15.75" customHeight="1">
      <c r="A291" s="4"/>
      <c r="B291" s="4"/>
      <c r="C291" s="4"/>
      <c r="D291" s="4"/>
      <c r="E291" s="4"/>
      <c r="F291" s="4"/>
      <c r="G291" s="4"/>
      <c r="H291" s="4"/>
      <c r="I291" s="4"/>
    </row>
    <row r="292" ht="15.75" customHeight="1">
      <c r="A292" s="4"/>
      <c r="B292" s="4"/>
      <c r="C292" s="4"/>
      <c r="D292" s="4"/>
      <c r="E292" s="4"/>
      <c r="F292" s="4"/>
      <c r="G292" s="4"/>
      <c r="H292" s="4"/>
      <c r="I292" s="4"/>
    </row>
    <row r="293" ht="15.75" customHeight="1">
      <c r="A293" s="4"/>
      <c r="B293" s="4"/>
      <c r="C293" s="4"/>
      <c r="D293" s="4"/>
      <c r="E293" s="4"/>
      <c r="F293" s="4"/>
      <c r="G293" s="4"/>
      <c r="H293" s="4"/>
      <c r="I293" s="4"/>
    </row>
    <row r="294" ht="15.75" customHeight="1">
      <c r="A294" s="4"/>
      <c r="B294" s="4"/>
      <c r="C294" s="4"/>
      <c r="D294" s="4"/>
      <c r="E294" s="4"/>
      <c r="F294" s="4"/>
      <c r="G294" s="4"/>
      <c r="H294" s="4"/>
      <c r="I294" s="4"/>
    </row>
    <row r="295" ht="15.75" customHeight="1">
      <c r="A295" s="4"/>
      <c r="B295" s="4"/>
      <c r="C295" s="4"/>
      <c r="D295" s="4"/>
      <c r="E295" s="4"/>
      <c r="F295" s="4"/>
      <c r="G295" s="4"/>
      <c r="H295" s="4"/>
      <c r="I295" s="4"/>
    </row>
    <row r="296" ht="15.75" customHeight="1">
      <c r="A296" s="4"/>
      <c r="B296" s="4"/>
      <c r="C296" s="4"/>
      <c r="D296" s="4"/>
      <c r="E296" s="4"/>
      <c r="F296" s="4"/>
      <c r="G296" s="4"/>
      <c r="H296" s="4"/>
      <c r="I296" s="4"/>
    </row>
    <row r="297" ht="15.75" customHeight="1">
      <c r="A297" s="4"/>
      <c r="B297" s="4"/>
      <c r="C297" s="4"/>
      <c r="D297" s="4"/>
      <c r="E297" s="4"/>
      <c r="F297" s="4"/>
      <c r="G297" s="4"/>
      <c r="H297" s="4"/>
      <c r="I297" s="4"/>
    </row>
    <row r="298" ht="15.75" customHeight="1">
      <c r="A298" s="4"/>
      <c r="B298" s="4"/>
      <c r="C298" s="4"/>
      <c r="D298" s="4"/>
      <c r="E298" s="4"/>
      <c r="F298" s="4"/>
      <c r="G298" s="4"/>
      <c r="H298" s="4"/>
      <c r="I298" s="4"/>
    </row>
    <row r="299" ht="15.75" customHeight="1">
      <c r="A299" s="4"/>
      <c r="B299" s="4"/>
      <c r="C299" s="4"/>
      <c r="D299" s="4"/>
      <c r="E299" s="4"/>
      <c r="F299" s="4"/>
      <c r="G299" s="4"/>
      <c r="H299" s="4"/>
      <c r="I299" s="4"/>
    </row>
    <row r="300" ht="15.75" customHeight="1">
      <c r="A300" s="4"/>
      <c r="B300" s="4"/>
      <c r="C300" s="4"/>
      <c r="D300" s="4"/>
      <c r="E300" s="4"/>
      <c r="F300" s="4"/>
      <c r="G300" s="4"/>
      <c r="H300" s="4"/>
      <c r="I300" s="4"/>
    </row>
    <row r="301" ht="15.75" customHeight="1">
      <c r="A301" s="4"/>
      <c r="B301" s="4"/>
      <c r="C301" s="4"/>
      <c r="D301" s="4"/>
      <c r="E301" s="4"/>
      <c r="F301" s="4"/>
      <c r="G301" s="4"/>
      <c r="H301" s="4"/>
      <c r="I301" s="4"/>
    </row>
    <row r="302" ht="15.75" customHeight="1">
      <c r="A302" s="4"/>
      <c r="B302" s="4"/>
      <c r="C302" s="4"/>
      <c r="D302" s="4"/>
      <c r="E302" s="4"/>
      <c r="F302" s="4"/>
      <c r="G302" s="4"/>
      <c r="H302" s="4"/>
      <c r="I302" s="4"/>
    </row>
    <row r="303" ht="15.75" customHeight="1">
      <c r="A303" s="4"/>
      <c r="B303" s="4"/>
      <c r="C303" s="4"/>
      <c r="D303" s="4"/>
      <c r="E303" s="4"/>
      <c r="F303" s="4"/>
      <c r="G303" s="4"/>
      <c r="H303" s="4"/>
      <c r="I303" s="4"/>
    </row>
    <row r="304" ht="15.75" customHeight="1">
      <c r="A304" s="4"/>
      <c r="B304" s="4"/>
      <c r="C304" s="4"/>
      <c r="D304" s="4"/>
      <c r="E304" s="4"/>
      <c r="F304" s="4"/>
      <c r="G304" s="4"/>
      <c r="H304" s="4"/>
      <c r="I304" s="4"/>
    </row>
    <row r="305" ht="15.75" customHeight="1">
      <c r="A305" s="4"/>
      <c r="B305" s="4"/>
      <c r="C305" s="4"/>
      <c r="D305" s="4"/>
      <c r="E305" s="4"/>
      <c r="F305" s="4"/>
      <c r="G305" s="4"/>
      <c r="H305" s="4"/>
      <c r="I305" s="4"/>
    </row>
    <row r="306" ht="15.75" customHeight="1">
      <c r="A306" s="4"/>
      <c r="B306" s="4"/>
      <c r="C306" s="4"/>
      <c r="D306" s="4"/>
      <c r="E306" s="4"/>
      <c r="F306" s="4"/>
      <c r="G306" s="4"/>
      <c r="H306" s="4"/>
      <c r="I306" s="4"/>
    </row>
    <row r="307" ht="15.75" customHeight="1">
      <c r="A307" s="4"/>
      <c r="B307" s="4"/>
      <c r="C307" s="4"/>
      <c r="D307" s="4"/>
      <c r="E307" s="4"/>
      <c r="F307" s="4"/>
      <c r="G307" s="4"/>
      <c r="H307" s="4"/>
      <c r="I307" s="4"/>
    </row>
    <row r="308" ht="15.75" customHeight="1">
      <c r="A308" s="4"/>
      <c r="B308" s="4"/>
      <c r="C308" s="4"/>
      <c r="D308" s="4"/>
      <c r="E308" s="4"/>
      <c r="F308" s="4"/>
      <c r="G308" s="4"/>
      <c r="H308" s="4"/>
      <c r="I308" s="4"/>
    </row>
    <row r="309" ht="15.75" customHeight="1">
      <c r="A309" s="4"/>
      <c r="B309" s="4"/>
      <c r="C309" s="4"/>
      <c r="D309" s="4"/>
      <c r="E309" s="4"/>
      <c r="F309" s="4"/>
      <c r="G309" s="4"/>
      <c r="H309" s="4"/>
      <c r="I309" s="4"/>
    </row>
    <row r="310" ht="15.75" customHeight="1">
      <c r="A310" s="4"/>
      <c r="B310" s="4"/>
      <c r="C310" s="4"/>
      <c r="D310" s="4"/>
      <c r="E310" s="4"/>
      <c r="F310" s="4"/>
      <c r="G310" s="4"/>
      <c r="H310" s="4"/>
      <c r="I310" s="4"/>
    </row>
    <row r="311" ht="15.75" customHeight="1">
      <c r="A311" s="4"/>
      <c r="B311" s="4"/>
      <c r="C311" s="4"/>
      <c r="D311" s="4"/>
      <c r="E311" s="4"/>
      <c r="F311" s="4"/>
      <c r="G311" s="4"/>
      <c r="H311" s="4"/>
      <c r="I311" s="4"/>
    </row>
    <row r="312" ht="15.75" customHeight="1">
      <c r="A312" s="4"/>
      <c r="B312" s="4"/>
      <c r="C312" s="4"/>
      <c r="D312" s="4"/>
      <c r="E312" s="4"/>
      <c r="F312" s="4"/>
      <c r="G312" s="4"/>
      <c r="H312" s="4"/>
      <c r="I312" s="4"/>
    </row>
    <row r="313" ht="15.75" customHeight="1">
      <c r="A313" s="4"/>
      <c r="B313" s="4"/>
      <c r="C313" s="4"/>
      <c r="D313" s="4"/>
      <c r="E313" s="4"/>
      <c r="F313" s="4"/>
      <c r="G313" s="4"/>
      <c r="H313" s="4"/>
      <c r="I313" s="4"/>
    </row>
    <row r="314" ht="15.75" customHeight="1">
      <c r="A314" s="4"/>
      <c r="B314" s="4"/>
      <c r="C314" s="4"/>
      <c r="D314" s="4"/>
      <c r="E314" s="4"/>
      <c r="F314" s="4"/>
      <c r="G314" s="4"/>
      <c r="H314" s="4"/>
      <c r="I314" s="4"/>
    </row>
    <row r="315" ht="15.75" customHeight="1">
      <c r="A315" s="4"/>
      <c r="B315" s="4"/>
      <c r="C315" s="4"/>
      <c r="D315" s="4"/>
      <c r="E315" s="4"/>
      <c r="F315" s="4"/>
      <c r="G315" s="4"/>
      <c r="H315" s="4"/>
      <c r="I315" s="4"/>
    </row>
    <row r="316" ht="15.75" customHeight="1">
      <c r="A316" s="4"/>
      <c r="B316" s="4"/>
      <c r="C316" s="4"/>
      <c r="D316" s="4"/>
      <c r="E316" s="4"/>
      <c r="F316" s="4"/>
      <c r="G316" s="4"/>
      <c r="H316" s="4"/>
      <c r="I316" s="4"/>
    </row>
    <row r="317" ht="15.75" customHeight="1">
      <c r="A317" s="4"/>
      <c r="B317" s="4"/>
      <c r="C317" s="4"/>
      <c r="D317" s="4"/>
      <c r="E317" s="4"/>
      <c r="F317" s="4"/>
      <c r="G317" s="4"/>
      <c r="H317" s="4"/>
      <c r="I317" s="4"/>
    </row>
    <row r="318" ht="15.75" customHeight="1">
      <c r="A318" s="4"/>
      <c r="B318" s="4"/>
      <c r="C318" s="4"/>
      <c r="D318" s="4"/>
      <c r="E318" s="4"/>
      <c r="F318" s="4"/>
      <c r="G318" s="4"/>
      <c r="H318" s="4"/>
      <c r="I318" s="4"/>
    </row>
    <row r="319" ht="15.75" customHeight="1">
      <c r="A319" s="4"/>
      <c r="B319" s="4"/>
      <c r="C319" s="4"/>
      <c r="D319" s="4"/>
      <c r="E319" s="4"/>
      <c r="F319" s="4"/>
      <c r="G319" s="4"/>
      <c r="H319" s="4"/>
      <c r="I319" s="4"/>
    </row>
    <row r="320" ht="15.75" customHeight="1">
      <c r="A320" s="4"/>
      <c r="B320" s="4"/>
      <c r="C320" s="4"/>
      <c r="D320" s="4"/>
      <c r="E320" s="4"/>
      <c r="F320" s="4"/>
      <c r="G320" s="4"/>
      <c r="H320" s="4"/>
      <c r="I320" s="4"/>
    </row>
    <row r="321" ht="15.75" customHeight="1">
      <c r="A321" s="4"/>
      <c r="B321" s="4"/>
      <c r="C321" s="4"/>
      <c r="D321" s="4"/>
      <c r="E321" s="4"/>
      <c r="F321" s="4"/>
      <c r="G321" s="4"/>
      <c r="H321" s="4"/>
      <c r="I321" s="4"/>
    </row>
    <row r="322" ht="15.75" customHeight="1">
      <c r="A322" s="4"/>
      <c r="B322" s="4"/>
      <c r="C322" s="4"/>
      <c r="D322" s="4"/>
      <c r="E322" s="4"/>
      <c r="F322" s="4"/>
      <c r="G322" s="4"/>
      <c r="H322" s="4"/>
      <c r="I322" s="4"/>
    </row>
    <row r="323" ht="15.75" customHeight="1">
      <c r="A323" s="4"/>
      <c r="B323" s="4"/>
      <c r="C323" s="4"/>
      <c r="D323" s="4"/>
      <c r="E323" s="4"/>
      <c r="F323" s="4"/>
      <c r="G323" s="4"/>
      <c r="H323" s="4"/>
      <c r="I323" s="4"/>
    </row>
    <row r="324" ht="15.75" customHeight="1">
      <c r="A324" s="4"/>
      <c r="B324" s="4"/>
      <c r="C324" s="4"/>
      <c r="D324" s="4"/>
      <c r="E324" s="4"/>
      <c r="F324" s="4"/>
      <c r="G324" s="4"/>
      <c r="H324" s="4"/>
      <c r="I324" s="4"/>
    </row>
    <row r="325" ht="15.75" customHeight="1">
      <c r="A325" s="4"/>
      <c r="B325" s="4"/>
      <c r="C325" s="4"/>
      <c r="D325" s="4"/>
      <c r="E325" s="4"/>
      <c r="F325" s="4"/>
      <c r="G325" s="4"/>
      <c r="H325" s="4"/>
      <c r="I325" s="4"/>
    </row>
    <row r="326" ht="15.75" customHeight="1">
      <c r="A326" s="4"/>
      <c r="B326" s="4"/>
      <c r="C326" s="4"/>
      <c r="D326" s="4"/>
      <c r="E326" s="4"/>
      <c r="F326" s="4"/>
      <c r="G326" s="4"/>
      <c r="H326" s="4"/>
      <c r="I326" s="4"/>
    </row>
    <row r="327" ht="15.75" customHeight="1">
      <c r="A327" s="4"/>
      <c r="B327" s="4"/>
      <c r="C327" s="4"/>
      <c r="D327" s="4"/>
      <c r="E327" s="4"/>
      <c r="F327" s="4"/>
      <c r="G327" s="4"/>
      <c r="H327" s="4"/>
      <c r="I327" s="4"/>
    </row>
    <row r="328" ht="15.75" customHeight="1">
      <c r="A328" s="4"/>
      <c r="B328" s="4"/>
      <c r="C328" s="4"/>
      <c r="D328" s="4"/>
      <c r="E328" s="4"/>
      <c r="F328" s="4"/>
      <c r="G328" s="4"/>
      <c r="H328" s="4"/>
      <c r="I328" s="4"/>
    </row>
    <row r="329" ht="15.75" customHeight="1">
      <c r="A329" s="4"/>
      <c r="B329" s="4"/>
      <c r="C329" s="4"/>
      <c r="D329" s="4"/>
      <c r="E329" s="4"/>
      <c r="F329" s="4"/>
      <c r="G329" s="4"/>
      <c r="H329" s="4"/>
      <c r="I329" s="4"/>
    </row>
    <row r="330" ht="15.75" customHeight="1">
      <c r="A330" s="4"/>
      <c r="B330" s="4"/>
      <c r="C330" s="4"/>
      <c r="D330" s="4"/>
      <c r="E330" s="4"/>
      <c r="F330" s="4"/>
      <c r="G330" s="4"/>
      <c r="H330" s="4"/>
      <c r="I330" s="4"/>
    </row>
    <row r="331" ht="15.75" customHeight="1">
      <c r="A331" s="4"/>
      <c r="B331" s="4"/>
      <c r="C331" s="4"/>
      <c r="D331" s="4"/>
      <c r="E331" s="4"/>
      <c r="F331" s="4"/>
      <c r="G331" s="4"/>
      <c r="H331" s="4"/>
      <c r="I331" s="4"/>
    </row>
    <row r="332" ht="15.75" customHeight="1">
      <c r="A332" s="4"/>
      <c r="B332" s="4"/>
      <c r="C332" s="4"/>
      <c r="D332" s="4"/>
      <c r="E332" s="4"/>
      <c r="F332" s="4"/>
      <c r="G332" s="4"/>
      <c r="H332" s="4"/>
      <c r="I332" s="4"/>
    </row>
    <row r="333" ht="15.75" customHeight="1">
      <c r="A333" s="4"/>
      <c r="B333" s="4"/>
      <c r="C333" s="4"/>
      <c r="D333" s="4"/>
      <c r="E333" s="4"/>
      <c r="F333" s="4"/>
      <c r="G333" s="4"/>
      <c r="H333" s="4"/>
      <c r="I333" s="4"/>
    </row>
    <row r="334" ht="15.75" customHeight="1">
      <c r="A334" s="4"/>
      <c r="B334" s="4"/>
      <c r="C334" s="4"/>
      <c r="D334" s="4"/>
      <c r="E334" s="4"/>
      <c r="F334" s="4"/>
      <c r="G334" s="4"/>
      <c r="H334" s="4"/>
      <c r="I334" s="4"/>
    </row>
    <row r="335" ht="15.75" customHeight="1">
      <c r="A335" s="4"/>
      <c r="B335" s="4"/>
      <c r="C335" s="4"/>
      <c r="D335" s="4"/>
      <c r="E335" s="4"/>
      <c r="F335" s="4"/>
      <c r="G335" s="4"/>
      <c r="H335" s="4"/>
      <c r="I335" s="4"/>
    </row>
    <row r="336" ht="15.75" customHeight="1">
      <c r="A336" s="4"/>
      <c r="B336" s="4"/>
      <c r="C336" s="4"/>
      <c r="D336" s="4"/>
      <c r="E336" s="4"/>
      <c r="F336" s="4"/>
      <c r="G336" s="4"/>
      <c r="H336" s="4"/>
      <c r="I336" s="4"/>
    </row>
    <row r="337" ht="15.75" customHeight="1">
      <c r="A337" s="4"/>
      <c r="B337" s="4"/>
      <c r="C337" s="4"/>
      <c r="D337" s="4"/>
      <c r="E337" s="4"/>
      <c r="F337" s="4"/>
      <c r="G337" s="4"/>
      <c r="H337" s="4"/>
      <c r="I337" s="4"/>
    </row>
    <row r="338" ht="15.75" customHeight="1">
      <c r="A338" s="4"/>
      <c r="B338" s="4"/>
      <c r="C338" s="4"/>
      <c r="D338" s="4"/>
      <c r="E338" s="4"/>
      <c r="F338" s="4"/>
      <c r="G338" s="4"/>
      <c r="H338" s="4"/>
      <c r="I338" s="4"/>
    </row>
    <row r="339" ht="15.75" customHeight="1">
      <c r="A339" s="4"/>
      <c r="B339" s="4"/>
      <c r="C339" s="4"/>
      <c r="D339" s="4"/>
      <c r="E339" s="4"/>
      <c r="F339" s="4"/>
      <c r="G339" s="4"/>
      <c r="H339" s="4"/>
      <c r="I339" s="4"/>
    </row>
    <row r="340" ht="15.75" customHeight="1">
      <c r="A340" s="4"/>
      <c r="B340" s="4"/>
      <c r="C340" s="4"/>
      <c r="D340" s="4"/>
      <c r="E340" s="4"/>
      <c r="F340" s="4"/>
      <c r="G340" s="4"/>
      <c r="H340" s="4"/>
      <c r="I340" s="4"/>
    </row>
    <row r="341" ht="15.75" customHeight="1">
      <c r="A341" s="4"/>
      <c r="B341" s="4"/>
      <c r="C341" s="4"/>
      <c r="D341" s="4"/>
      <c r="E341" s="4"/>
      <c r="F341" s="4"/>
      <c r="G341" s="4"/>
      <c r="H341" s="4"/>
      <c r="I341" s="4"/>
    </row>
    <row r="342" ht="15.75" customHeight="1">
      <c r="A342" s="4"/>
      <c r="B342" s="4"/>
      <c r="C342" s="4"/>
      <c r="D342" s="4"/>
      <c r="E342" s="4"/>
      <c r="F342" s="4"/>
      <c r="G342" s="4"/>
      <c r="H342" s="4"/>
      <c r="I342" s="4"/>
    </row>
    <row r="343" ht="15.75" customHeight="1">
      <c r="A343" s="4"/>
      <c r="B343" s="4"/>
      <c r="C343" s="4"/>
      <c r="D343" s="4"/>
      <c r="E343" s="4"/>
      <c r="F343" s="4"/>
      <c r="G343" s="4"/>
      <c r="H343" s="4"/>
      <c r="I343" s="4"/>
    </row>
    <row r="344" ht="15.75" customHeight="1">
      <c r="A344" s="4"/>
      <c r="B344" s="4"/>
      <c r="C344" s="4"/>
      <c r="D344" s="4"/>
      <c r="E344" s="4"/>
      <c r="F344" s="4"/>
      <c r="G344" s="4"/>
      <c r="H344" s="4"/>
      <c r="I344" s="4"/>
    </row>
    <row r="345" ht="15.75" customHeight="1">
      <c r="A345" s="4"/>
      <c r="B345" s="4"/>
      <c r="C345" s="4"/>
      <c r="D345" s="4"/>
      <c r="E345" s="4"/>
      <c r="F345" s="4"/>
      <c r="G345" s="4"/>
      <c r="H345" s="4"/>
      <c r="I345" s="4"/>
    </row>
    <row r="346" ht="15.75" customHeight="1">
      <c r="A346" s="4"/>
      <c r="B346" s="4"/>
      <c r="C346" s="4"/>
      <c r="D346" s="4"/>
      <c r="E346" s="4"/>
      <c r="F346" s="4"/>
      <c r="G346" s="4"/>
      <c r="H346" s="4"/>
      <c r="I346" s="4"/>
    </row>
    <row r="347" ht="15.75" customHeight="1">
      <c r="A347" s="4"/>
      <c r="B347" s="4"/>
      <c r="C347" s="4"/>
      <c r="D347" s="4"/>
      <c r="E347" s="4"/>
      <c r="F347" s="4"/>
      <c r="G347" s="4"/>
      <c r="H347" s="4"/>
      <c r="I347" s="4"/>
    </row>
    <row r="348" ht="15.75" customHeight="1">
      <c r="A348" s="4"/>
      <c r="B348" s="4"/>
      <c r="C348" s="4"/>
      <c r="D348" s="4"/>
      <c r="E348" s="4"/>
      <c r="F348" s="4"/>
      <c r="G348" s="4"/>
      <c r="H348" s="4"/>
      <c r="I348" s="4"/>
    </row>
    <row r="349" ht="15.75" customHeight="1">
      <c r="A349" s="4"/>
      <c r="B349" s="4"/>
      <c r="C349" s="4"/>
      <c r="D349" s="4"/>
      <c r="E349" s="4"/>
      <c r="F349" s="4"/>
      <c r="G349" s="4"/>
      <c r="H349" s="4"/>
      <c r="I349" s="4"/>
    </row>
    <row r="350" ht="15.75" customHeight="1">
      <c r="A350" s="4"/>
      <c r="B350" s="4"/>
      <c r="C350" s="4"/>
      <c r="D350" s="4"/>
      <c r="E350" s="4"/>
      <c r="F350" s="4"/>
      <c r="G350" s="4"/>
      <c r="H350" s="4"/>
      <c r="I350" s="4"/>
    </row>
    <row r="351" ht="15.75" customHeight="1">
      <c r="A351" s="4"/>
      <c r="B351" s="4"/>
      <c r="C351" s="4"/>
      <c r="D351" s="4"/>
      <c r="E351" s="4"/>
      <c r="F351" s="4"/>
      <c r="G351" s="4"/>
      <c r="H351" s="4"/>
      <c r="I351" s="4"/>
    </row>
    <row r="352" ht="15.75" customHeight="1">
      <c r="A352" s="4"/>
      <c r="B352" s="4"/>
      <c r="C352" s="4"/>
      <c r="D352" s="4"/>
      <c r="E352" s="4"/>
      <c r="F352" s="4"/>
      <c r="G352" s="4"/>
      <c r="H352" s="4"/>
      <c r="I352" s="4"/>
    </row>
    <row r="353" ht="15.75" customHeight="1">
      <c r="A353" s="4"/>
      <c r="B353" s="4"/>
      <c r="C353" s="4"/>
      <c r="D353" s="4"/>
      <c r="E353" s="4"/>
      <c r="F353" s="4"/>
      <c r="G353" s="4"/>
      <c r="H353" s="4"/>
      <c r="I353" s="4"/>
    </row>
    <row r="354" ht="15.75" customHeight="1">
      <c r="A354" s="4"/>
      <c r="B354" s="4"/>
      <c r="C354" s="4"/>
      <c r="D354" s="4"/>
      <c r="E354" s="4"/>
      <c r="F354" s="4"/>
      <c r="G354" s="4"/>
      <c r="H354" s="4"/>
      <c r="I354" s="4"/>
    </row>
    <row r="355" ht="15.75" customHeight="1">
      <c r="A355" s="4"/>
      <c r="B355" s="4"/>
      <c r="C355" s="4"/>
      <c r="D355" s="4"/>
      <c r="E355" s="4"/>
      <c r="F355" s="4"/>
      <c r="G355" s="4"/>
      <c r="H355" s="4"/>
      <c r="I355" s="4"/>
    </row>
    <row r="356" ht="15.75" customHeight="1">
      <c r="A356" s="4"/>
      <c r="B356" s="4"/>
      <c r="C356" s="4"/>
      <c r="D356" s="4"/>
      <c r="E356" s="4"/>
      <c r="F356" s="4"/>
      <c r="G356" s="4"/>
      <c r="H356" s="4"/>
      <c r="I356" s="4"/>
    </row>
    <row r="357" ht="15.75" customHeight="1">
      <c r="A357" s="4"/>
      <c r="B357" s="4"/>
      <c r="C357" s="4"/>
      <c r="D357" s="4"/>
      <c r="E357" s="4"/>
      <c r="F357" s="4"/>
      <c r="G357" s="4"/>
      <c r="H357" s="4"/>
      <c r="I357" s="4"/>
    </row>
    <row r="358" ht="15.75" customHeight="1">
      <c r="A358" s="4"/>
      <c r="B358" s="4"/>
      <c r="C358" s="4"/>
      <c r="D358" s="4"/>
      <c r="E358" s="4"/>
      <c r="F358" s="4"/>
      <c r="G358" s="4"/>
      <c r="H358" s="4"/>
      <c r="I358" s="4"/>
    </row>
    <row r="359" ht="15.75" customHeight="1">
      <c r="A359" s="4"/>
      <c r="B359" s="4"/>
      <c r="C359" s="4"/>
      <c r="D359" s="4"/>
      <c r="E359" s="4"/>
      <c r="F359" s="4"/>
      <c r="G359" s="4"/>
      <c r="H359" s="4"/>
      <c r="I359" s="4"/>
    </row>
    <row r="360" ht="15.75" customHeight="1">
      <c r="A360" s="4"/>
      <c r="B360" s="4"/>
      <c r="C360" s="4"/>
      <c r="D360" s="4"/>
      <c r="E360" s="4"/>
      <c r="F360" s="4"/>
      <c r="G360" s="4"/>
      <c r="H360" s="4"/>
      <c r="I360" s="4"/>
    </row>
    <row r="361" ht="15.75" customHeight="1">
      <c r="A361" s="4"/>
      <c r="B361" s="4"/>
      <c r="C361" s="4"/>
      <c r="D361" s="4"/>
      <c r="E361" s="4"/>
      <c r="F361" s="4"/>
      <c r="G361" s="4"/>
      <c r="H361" s="4"/>
      <c r="I361" s="4"/>
    </row>
    <row r="362" ht="15.75" customHeight="1">
      <c r="A362" s="4"/>
      <c r="B362" s="4"/>
      <c r="C362" s="4"/>
      <c r="D362" s="4"/>
      <c r="E362" s="4"/>
      <c r="F362" s="4"/>
      <c r="G362" s="4"/>
      <c r="H362" s="4"/>
      <c r="I362" s="4"/>
    </row>
    <row r="363" ht="15.75" customHeight="1">
      <c r="A363" s="4"/>
      <c r="B363" s="4"/>
      <c r="C363" s="4"/>
      <c r="D363" s="4"/>
      <c r="E363" s="4"/>
      <c r="F363" s="4"/>
      <c r="G363" s="4"/>
      <c r="H363" s="4"/>
      <c r="I363" s="4"/>
    </row>
    <row r="364" ht="15.75" customHeight="1">
      <c r="A364" s="4"/>
      <c r="B364" s="4"/>
      <c r="C364" s="4"/>
      <c r="D364" s="4"/>
      <c r="E364" s="4"/>
      <c r="F364" s="4"/>
      <c r="G364" s="4"/>
      <c r="H364" s="4"/>
      <c r="I364" s="4"/>
    </row>
    <row r="365" ht="15.75" customHeight="1">
      <c r="A365" s="4"/>
      <c r="B365" s="4"/>
      <c r="C365" s="4"/>
      <c r="D365" s="4"/>
      <c r="E365" s="4"/>
      <c r="F365" s="4"/>
      <c r="G365" s="4"/>
      <c r="H365" s="4"/>
      <c r="I365" s="4"/>
    </row>
    <row r="366" ht="15.75" customHeight="1">
      <c r="A366" s="4"/>
      <c r="B366" s="4"/>
      <c r="C366" s="4"/>
      <c r="D366" s="4"/>
      <c r="E366" s="4"/>
      <c r="F366" s="4"/>
      <c r="G366" s="4"/>
      <c r="H366" s="4"/>
      <c r="I366" s="4"/>
    </row>
    <row r="367" ht="15.75" customHeight="1">
      <c r="A367" s="4"/>
      <c r="B367" s="4"/>
      <c r="C367" s="4"/>
      <c r="D367" s="4"/>
      <c r="E367" s="4"/>
      <c r="F367" s="4"/>
      <c r="G367" s="4"/>
      <c r="H367" s="4"/>
      <c r="I367" s="4"/>
    </row>
    <row r="368" ht="15.75" customHeight="1">
      <c r="A368" s="4"/>
      <c r="B368" s="4"/>
      <c r="C368" s="4"/>
      <c r="D368" s="4"/>
      <c r="E368" s="4"/>
      <c r="F368" s="4"/>
      <c r="G368" s="4"/>
      <c r="H368" s="4"/>
      <c r="I368" s="4"/>
    </row>
    <row r="369" ht="15.75" customHeight="1">
      <c r="A369" s="4"/>
      <c r="B369" s="4"/>
      <c r="C369" s="4"/>
      <c r="D369" s="4"/>
      <c r="E369" s="4"/>
      <c r="F369" s="4"/>
      <c r="G369" s="4"/>
      <c r="H369" s="4"/>
      <c r="I369" s="4"/>
    </row>
    <row r="370" ht="15.75" customHeight="1">
      <c r="A370" s="4"/>
      <c r="B370" s="4"/>
      <c r="C370" s="4"/>
      <c r="D370" s="4"/>
      <c r="E370" s="4"/>
      <c r="F370" s="4"/>
      <c r="G370" s="4"/>
      <c r="H370" s="4"/>
      <c r="I370" s="4"/>
    </row>
    <row r="371" ht="15.75" customHeight="1">
      <c r="A371" s="4"/>
      <c r="B371" s="4"/>
      <c r="C371" s="4"/>
      <c r="D371" s="4"/>
      <c r="E371" s="4"/>
      <c r="F371" s="4"/>
      <c r="G371" s="4"/>
      <c r="H371" s="4"/>
      <c r="I371" s="4"/>
    </row>
    <row r="372" ht="15.75" customHeight="1">
      <c r="A372" s="4"/>
      <c r="B372" s="4"/>
      <c r="C372" s="4"/>
      <c r="D372" s="4"/>
      <c r="E372" s="4"/>
      <c r="F372" s="4"/>
      <c r="G372" s="4"/>
      <c r="H372" s="4"/>
      <c r="I372" s="4"/>
    </row>
    <row r="373" ht="15.75" customHeight="1">
      <c r="A373" s="4"/>
      <c r="B373" s="4"/>
      <c r="C373" s="4"/>
      <c r="D373" s="4"/>
      <c r="E373" s="4"/>
      <c r="F373" s="4"/>
      <c r="G373" s="4"/>
      <c r="H373" s="4"/>
      <c r="I373" s="4"/>
    </row>
    <row r="374" ht="15.75" customHeight="1">
      <c r="A374" s="4"/>
      <c r="B374" s="4"/>
      <c r="C374" s="4"/>
      <c r="D374" s="4"/>
      <c r="E374" s="4"/>
      <c r="F374" s="4"/>
      <c r="G374" s="4"/>
      <c r="H374" s="4"/>
      <c r="I374" s="4"/>
    </row>
    <row r="375" ht="15.75" customHeight="1">
      <c r="A375" s="4"/>
      <c r="B375" s="4"/>
      <c r="C375" s="4"/>
      <c r="D375" s="4"/>
      <c r="E375" s="4"/>
      <c r="F375" s="4"/>
      <c r="G375" s="4"/>
      <c r="H375" s="4"/>
      <c r="I375" s="4"/>
    </row>
    <row r="376" ht="15.75" customHeight="1">
      <c r="A376" s="4"/>
      <c r="B376" s="4"/>
      <c r="C376" s="4"/>
      <c r="D376" s="4"/>
      <c r="E376" s="4"/>
      <c r="F376" s="4"/>
      <c r="G376" s="4"/>
      <c r="H376" s="4"/>
      <c r="I376" s="4"/>
    </row>
    <row r="377" ht="15.75" customHeight="1">
      <c r="A377" s="4"/>
      <c r="B377" s="4"/>
      <c r="C377" s="4"/>
      <c r="D377" s="4"/>
      <c r="E377" s="4"/>
      <c r="F377" s="4"/>
      <c r="G377" s="4"/>
      <c r="H377" s="4"/>
      <c r="I377" s="4"/>
    </row>
    <row r="378" ht="15.75" customHeight="1">
      <c r="A378" s="4"/>
      <c r="B378" s="4"/>
      <c r="C378" s="4"/>
      <c r="D378" s="4"/>
      <c r="E378" s="4"/>
      <c r="F378" s="4"/>
      <c r="G378" s="4"/>
      <c r="H378" s="4"/>
      <c r="I378" s="4"/>
    </row>
    <row r="379" ht="15.75" customHeight="1">
      <c r="A379" s="4"/>
      <c r="B379" s="4"/>
      <c r="C379" s="4"/>
      <c r="D379" s="4"/>
      <c r="E379" s="4"/>
      <c r="F379" s="4"/>
      <c r="G379" s="4"/>
      <c r="H379" s="4"/>
      <c r="I379" s="4"/>
    </row>
    <row r="380" ht="15.75" customHeight="1">
      <c r="A380" s="4"/>
      <c r="B380" s="4"/>
      <c r="C380" s="4"/>
      <c r="D380" s="4"/>
      <c r="E380" s="4"/>
      <c r="F380" s="4"/>
      <c r="G380" s="4"/>
      <c r="H380" s="4"/>
      <c r="I380" s="4"/>
    </row>
    <row r="381" ht="15.75" customHeight="1">
      <c r="A381" s="4"/>
      <c r="B381" s="4"/>
      <c r="C381" s="4"/>
      <c r="D381" s="4"/>
      <c r="E381" s="4"/>
      <c r="F381" s="4"/>
      <c r="G381" s="4"/>
      <c r="H381" s="4"/>
      <c r="I381" s="4"/>
    </row>
    <row r="382" ht="15.75" customHeight="1">
      <c r="A382" s="4"/>
      <c r="B382" s="4"/>
      <c r="C382" s="4"/>
      <c r="D382" s="4"/>
      <c r="E382" s="4"/>
      <c r="F382" s="4"/>
      <c r="G382" s="4"/>
      <c r="H382" s="4"/>
      <c r="I382" s="4"/>
    </row>
    <row r="383" ht="15.75" customHeight="1">
      <c r="A383" s="4"/>
      <c r="B383" s="4"/>
      <c r="C383" s="4"/>
      <c r="D383" s="4"/>
      <c r="E383" s="4"/>
      <c r="F383" s="4"/>
      <c r="G383" s="4"/>
      <c r="H383" s="4"/>
      <c r="I383" s="4"/>
    </row>
    <row r="384" ht="15.75" customHeight="1">
      <c r="A384" s="4"/>
      <c r="B384" s="4"/>
      <c r="C384" s="4"/>
      <c r="D384" s="4"/>
      <c r="E384" s="4"/>
      <c r="F384" s="4"/>
      <c r="G384" s="4"/>
      <c r="H384" s="4"/>
      <c r="I384" s="4"/>
    </row>
    <row r="385" ht="15.75" customHeight="1">
      <c r="A385" s="4"/>
      <c r="B385" s="4"/>
      <c r="C385" s="4"/>
      <c r="D385" s="4"/>
      <c r="E385" s="4"/>
      <c r="F385" s="4"/>
      <c r="G385" s="4"/>
      <c r="H385" s="4"/>
      <c r="I385" s="4"/>
    </row>
    <row r="386" ht="15.75" customHeight="1">
      <c r="A386" s="4"/>
      <c r="B386" s="4"/>
      <c r="C386" s="4"/>
      <c r="D386" s="4"/>
      <c r="E386" s="4"/>
      <c r="F386" s="4"/>
      <c r="G386" s="4"/>
      <c r="H386" s="4"/>
      <c r="I386" s="4"/>
    </row>
    <row r="387" ht="15.75" customHeight="1">
      <c r="A387" s="4"/>
      <c r="B387" s="4"/>
      <c r="C387" s="4"/>
      <c r="D387" s="4"/>
      <c r="E387" s="4"/>
      <c r="F387" s="4"/>
      <c r="G387" s="4"/>
      <c r="H387" s="4"/>
      <c r="I387" s="4"/>
    </row>
    <row r="388" ht="15.75" customHeight="1">
      <c r="A388" s="4"/>
      <c r="B388" s="4"/>
      <c r="C388" s="4"/>
      <c r="D388" s="4"/>
      <c r="E388" s="4"/>
      <c r="F388" s="4"/>
      <c r="G388" s="4"/>
      <c r="H388" s="4"/>
      <c r="I388" s="4"/>
    </row>
    <row r="389" ht="15.75" customHeight="1">
      <c r="A389" s="4"/>
      <c r="B389" s="4"/>
      <c r="C389" s="4"/>
      <c r="D389" s="4"/>
      <c r="E389" s="4"/>
      <c r="F389" s="4"/>
      <c r="G389" s="4"/>
      <c r="H389" s="4"/>
      <c r="I389" s="4"/>
    </row>
    <row r="390" ht="15.75" customHeight="1">
      <c r="A390" s="4"/>
      <c r="B390" s="4"/>
      <c r="C390" s="4"/>
      <c r="D390" s="4"/>
      <c r="E390" s="4"/>
      <c r="F390" s="4"/>
      <c r="G390" s="4"/>
      <c r="H390" s="4"/>
      <c r="I390" s="4"/>
    </row>
    <row r="391" ht="15.75" customHeight="1">
      <c r="A391" s="4"/>
      <c r="B391" s="4"/>
      <c r="C391" s="4"/>
      <c r="D391" s="4"/>
      <c r="E391" s="4"/>
      <c r="F391" s="4"/>
      <c r="G391" s="4"/>
      <c r="H391" s="4"/>
      <c r="I391" s="4"/>
    </row>
    <row r="392" ht="15.75" customHeight="1">
      <c r="A392" s="4"/>
      <c r="B392" s="4"/>
      <c r="C392" s="4"/>
      <c r="D392" s="4"/>
      <c r="E392" s="4"/>
      <c r="F392" s="4"/>
      <c r="G392" s="4"/>
      <c r="H392" s="4"/>
      <c r="I392" s="4"/>
    </row>
    <row r="393" ht="15.75" customHeight="1">
      <c r="A393" s="4"/>
      <c r="B393" s="4"/>
      <c r="C393" s="4"/>
      <c r="D393" s="4"/>
      <c r="E393" s="4"/>
      <c r="F393" s="4"/>
      <c r="G393" s="4"/>
      <c r="H393" s="4"/>
      <c r="I393" s="4"/>
    </row>
    <row r="394" ht="15.75" customHeight="1">
      <c r="A394" s="4"/>
      <c r="B394" s="4"/>
      <c r="C394" s="4"/>
      <c r="D394" s="4"/>
      <c r="E394" s="4"/>
      <c r="F394" s="4"/>
      <c r="G394" s="4"/>
      <c r="H394" s="4"/>
      <c r="I394" s="4"/>
    </row>
    <row r="395" ht="15.75" customHeight="1">
      <c r="A395" s="4"/>
      <c r="B395" s="4"/>
      <c r="C395" s="4"/>
      <c r="D395" s="4"/>
      <c r="E395" s="4"/>
      <c r="F395" s="4"/>
      <c r="G395" s="4"/>
      <c r="H395" s="4"/>
      <c r="I395" s="4"/>
    </row>
    <row r="396" ht="15.75" customHeight="1">
      <c r="A396" s="4"/>
      <c r="B396" s="4"/>
      <c r="C396" s="4"/>
      <c r="D396" s="4"/>
      <c r="E396" s="4"/>
      <c r="F396" s="4"/>
      <c r="G396" s="4"/>
      <c r="H396" s="4"/>
      <c r="I396" s="4"/>
    </row>
    <row r="397" ht="15.75" customHeight="1">
      <c r="A397" s="4"/>
      <c r="B397" s="4"/>
      <c r="C397" s="4"/>
      <c r="D397" s="4"/>
      <c r="E397" s="4"/>
      <c r="F397" s="4"/>
      <c r="G397" s="4"/>
      <c r="H397" s="4"/>
      <c r="I397" s="4"/>
    </row>
    <row r="398" ht="15.75" customHeight="1">
      <c r="A398" s="4"/>
      <c r="B398" s="4"/>
      <c r="C398" s="4"/>
      <c r="D398" s="4"/>
      <c r="E398" s="4"/>
      <c r="F398" s="4"/>
      <c r="G398" s="4"/>
      <c r="H398" s="4"/>
      <c r="I398" s="4"/>
    </row>
    <row r="399" ht="15.75" customHeight="1">
      <c r="A399" s="4"/>
      <c r="B399" s="4"/>
      <c r="C399" s="4"/>
      <c r="D399" s="4"/>
      <c r="E399" s="4"/>
      <c r="F399" s="4"/>
      <c r="G399" s="4"/>
      <c r="H399" s="4"/>
      <c r="I399" s="4"/>
    </row>
    <row r="400" ht="15.75" customHeight="1">
      <c r="A400" s="4"/>
      <c r="B400" s="4"/>
      <c r="C400" s="4"/>
      <c r="D400" s="4"/>
      <c r="E400" s="4"/>
      <c r="F400" s="4"/>
      <c r="G400" s="4"/>
      <c r="H400" s="4"/>
      <c r="I400" s="4"/>
    </row>
    <row r="401" ht="15.75" customHeight="1">
      <c r="A401" s="4"/>
      <c r="B401" s="4"/>
      <c r="C401" s="4"/>
      <c r="D401" s="4"/>
      <c r="E401" s="4"/>
      <c r="F401" s="4"/>
      <c r="G401" s="4"/>
      <c r="H401" s="4"/>
      <c r="I401" s="4"/>
    </row>
    <row r="402" ht="15.75" customHeight="1">
      <c r="A402" s="4"/>
      <c r="B402" s="4"/>
      <c r="C402" s="4"/>
      <c r="D402" s="4"/>
      <c r="E402" s="4"/>
      <c r="F402" s="4"/>
      <c r="G402" s="4"/>
      <c r="H402" s="4"/>
      <c r="I402" s="4"/>
    </row>
    <row r="403" ht="15.75" customHeight="1">
      <c r="A403" s="4"/>
      <c r="B403" s="4"/>
      <c r="C403" s="4"/>
      <c r="D403" s="4"/>
      <c r="E403" s="4"/>
      <c r="F403" s="4"/>
      <c r="G403" s="4"/>
      <c r="H403" s="4"/>
      <c r="I403" s="4"/>
    </row>
    <row r="404" ht="15.75" customHeight="1">
      <c r="A404" s="4"/>
      <c r="B404" s="4"/>
      <c r="C404" s="4"/>
      <c r="D404" s="4"/>
      <c r="E404" s="4"/>
      <c r="F404" s="4"/>
      <c r="G404" s="4"/>
      <c r="H404" s="4"/>
      <c r="I404" s="4"/>
    </row>
    <row r="405" ht="15.75" customHeight="1">
      <c r="A405" s="4"/>
      <c r="B405" s="4"/>
      <c r="C405" s="4"/>
      <c r="D405" s="4"/>
      <c r="E405" s="4"/>
      <c r="F405" s="4"/>
      <c r="G405" s="4"/>
      <c r="H405" s="4"/>
      <c r="I405" s="4"/>
    </row>
    <row r="406" ht="15.75" customHeight="1">
      <c r="A406" s="4"/>
      <c r="B406" s="4"/>
      <c r="C406" s="4"/>
      <c r="D406" s="4"/>
      <c r="E406" s="4"/>
      <c r="F406" s="4"/>
      <c r="G406" s="4"/>
      <c r="H406" s="4"/>
      <c r="I406" s="4"/>
    </row>
    <row r="407" ht="15.75" customHeight="1">
      <c r="A407" s="4"/>
      <c r="B407" s="4"/>
      <c r="C407" s="4"/>
      <c r="D407" s="4"/>
      <c r="E407" s="4"/>
      <c r="F407" s="4"/>
      <c r="G407" s="4"/>
      <c r="H407" s="4"/>
      <c r="I407" s="4"/>
    </row>
    <row r="408" ht="15.75" customHeight="1">
      <c r="A408" s="4"/>
      <c r="B408" s="4"/>
      <c r="C408" s="4"/>
      <c r="D408" s="4"/>
      <c r="E408" s="4"/>
      <c r="F408" s="4"/>
      <c r="G408" s="4"/>
      <c r="H408" s="4"/>
      <c r="I408" s="4"/>
    </row>
    <row r="409" ht="15.75" customHeight="1">
      <c r="A409" s="4"/>
      <c r="B409" s="4"/>
      <c r="C409" s="4"/>
      <c r="D409" s="4"/>
      <c r="E409" s="4"/>
      <c r="F409" s="4"/>
      <c r="G409" s="4"/>
      <c r="H409" s="4"/>
      <c r="I409" s="4"/>
    </row>
    <row r="410" ht="15.75" customHeight="1">
      <c r="A410" s="4"/>
      <c r="B410" s="4"/>
      <c r="C410" s="4"/>
      <c r="D410" s="4"/>
      <c r="E410" s="4"/>
      <c r="F410" s="4"/>
      <c r="G410" s="4"/>
      <c r="H410" s="4"/>
      <c r="I410" s="4"/>
    </row>
    <row r="411" ht="15.75" customHeight="1">
      <c r="A411" s="4"/>
      <c r="B411" s="4"/>
      <c r="C411" s="4"/>
      <c r="D411" s="4"/>
      <c r="E411" s="4"/>
      <c r="F411" s="4"/>
      <c r="G411" s="4"/>
      <c r="H411" s="4"/>
      <c r="I411" s="4"/>
    </row>
    <row r="412" ht="15.75" customHeight="1">
      <c r="A412" s="4"/>
      <c r="B412" s="4"/>
      <c r="C412" s="4"/>
      <c r="D412" s="4"/>
      <c r="E412" s="4"/>
      <c r="F412" s="4"/>
      <c r="G412" s="4"/>
      <c r="H412" s="4"/>
      <c r="I412" s="4"/>
    </row>
    <row r="413" ht="15.75" customHeight="1">
      <c r="A413" s="4"/>
      <c r="B413" s="4"/>
      <c r="C413" s="4"/>
      <c r="D413" s="4"/>
      <c r="E413" s="4"/>
      <c r="F413" s="4"/>
      <c r="G413" s="4"/>
      <c r="H413" s="4"/>
      <c r="I413" s="4"/>
    </row>
    <row r="414" ht="15.75" customHeight="1">
      <c r="A414" s="4"/>
      <c r="B414" s="4"/>
      <c r="C414" s="4"/>
      <c r="D414" s="4"/>
      <c r="E414" s="4"/>
      <c r="F414" s="4"/>
      <c r="G414" s="4"/>
      <c r="H414" s="4"/>
      <c r="I414" s="4"/>
    </row>
    <row r="415" ht="15.75" customHeight="1">
      <c r="A415" s="4"/>
      <c r="B415" s="4"/>
      <c r="C415" s="4"/>
      <c r="D415" s="4"/>
      <c r="E415" s="4"/>
      <c r="F415" s="4"/>
      <c r="G415" s="4"/>
      <c r="H415" s="4"/>
      <c r="I415" s="4"/>
    </row>
    <row r="416" ht="15.75" customHeight="1">
      <c r="A416" s="4"/>
      <c r="B416" s="4"/>
      <c r="C416" s="4"/>
      <c r="D416" s="4"/>
      <c r="E416" s="4"/>
      <c r="F416" s="4"/>
      <c r="G416" s="4"/>
      <c r="H416" s="4"/>
      <c r="I416" s="4"/>
    </row>
    <row r="417" ht="15.75" customHeight="1">
      <c r="A417" s="4"/>
      <c r="B417" s="4"/>
      <c r="C417" s="4"/>
      <c r="D417" s="4"/>
      <c r="E417" s="4"/>
      <c r="F417" s="4"/>
      <c r="G417" s="4"/>
      <c r="H417" s="4"/>
      <c r="I417" s="4"/>
    </row>
    <row r="418" ht="15.75" customHeight="1">
      <c r="A418" s="4"/>
      <c r="B418" s="4"/>
      <c r="C418" s="4"/>
      <c r="D418" s="4"/>
      <c r="E418" s="4"/>
      <c r="F418" s="4"/>
      <c r="G418" s="4"/>
      <c r="H418" s="4"/>
      <c r="I418" s="4"/>
    </row>
    <row r="419" ht="15.75" customHeight="1">
      <c r="A419" s="4"/>
      <c r="B419" s="4"/>
      <c r="C419" s="4"/>
      <c r="D419" s="4"/>
      <c r="E419" s="4"/>
      <c r="F419" s="4"/>
      <c r="G419" s="4"/>
      <c r="H419" s="4"/>
      <c r="I419" s="4"/>
    </row>
    <row r="420" ht="15.75" customHeight="1">
      <c r="A420" s="4"/>
      <c r="B420" s="4"/>
      <c r="C420" s="4"/>
      <c r="D420" s="4"/>
      <c r="E420" s="4"/>
      <c r="F420" s="4"/>
      <c r="G420" s="4"/>
      <c r="H420" s="4"/>
      <c r="I420" s="4"/>
    </row>
    <row r="421" ht="15.75" customHeight="1">
      <c r="A421" s="4"/>
      <c r="B421" s="4"/>
      <c r="C421" s="4"/>
      <c r="D421" s="4"/>
      <c r="E421" s="4"/>
      <c r="F421" s="4"/>
      <c r="G421" s="4"/>
      <c r="H421" s="4"/>
      <c r="I421" s="4"/>
    </row>
    <row r="422" ht="15.75" customHeight="1">
      <c r="A422" s="4"/>
      <c r="B422" s="4"/>
      <c r="C422" s="4"/>
      <c r="D422" s="4"/>
      <c r="E422" s="4"/>
      <c r="F422" s="4"/>
      <c r="G422" s="4"/>
      <c r="H422" s="4"/>
      <c r="I422" s="4"/>
    </row>
    <row r="423" ht="15.75" customHeight="1">
      <c r="A423" s="4"/>
      <c r="B423" s="4"/>
      <c r="C423" s="4"/>
      <c r="D423" s="4"/>
      <c r="E423" s="4"/>
      <c r="F423" s="4"/>
      <c r="G423" s="4"/>
      <c r="H423" s="4"/>
      <c r="I423" s="4"/>
    </row>
    <row r="424" ht="15.75" customHeight="1">
      <c r="A424" s="4"/>
      <c r="B424" s="4"/>
      <c r="C424" s="4"/>
      <c r="D424" s="4"/>
      <c r="E424" s="4"/>
      <c r="F424" s="4"/>
      <c r="G424" s="4"/>
      <c r="H424" s="4"/>
      <c r="I424" s="4"/>
    </row>
    <row r="425" ht="15.75" customHeight="1">
      <c r="A425" s="4"/>
      <c r="B425" s="4"/>
      <c r="C425" s="4"/>
      <c r="D425" s="4"/>
      <c r="E425" s="4"/>
      <c r="F425" s="4"/>
      <c r="G425" s="4"/>
      <c r="H425" s="4"/>
      <c r="I425" s="4"/>
    </row>
    <row r="426" ht="15.75" customHeight="1">
      <c r="A426" s="4"/>
      <c r="B426" s="4"/>
      <c r="C426" s="4"/>
      <c r="D426" s="4"/>
      <c r="E426" s="4"/>
      <c r="F426" s="4"/>
      <c r="G426" s="4"/>
      <c r="H426" s="4"/>
      <c r="I426" s="4"/>
    </row>
    <row r="427" ht="15.75" customHeight="1">
      <c r="A427" s="4"/>
      <c r="B427" s="4"/>
      <c r="C427" s="4"/>
      <c r="D427" s="4"/>
      <c r="E427" s="4"/>
      <c r="F427" s="4"/>
      <c r="G427" s="4"/>
      <c r="H427" s="4"/>
      <c r="I427" s="4"/>
    </row>
    <row r="428" ht="15.75" customHeight="1">
      <c r="A428" s="4"/>
      <c r="B428" s="4"/>
      <c r="C428" s="4"/>
      <c r="D428" s="4"/>
      <c r="E428" s="4"/>
      <c r="F428" s="4"/>
      <c r="G428" s="4"/>
      <c r="H428" s="4"/>
      <c r="I428" s="4"/>
    </row>
    <row r="429" ht="15.75" customHeight="1">
      <c r="A429" s="4"/>
      <c r="B429" s="4"/>
      <c r="C429" s="4"/>
      <c r="D429" s="4"/>
      <c r="E429" s="4"/>
      <c r="F429" s="4"/>
      <c r="G429" s="4"/>
      <c r="H429" s="4"/>
      <c r="I429" s="4"/>
    </row>
    <row r="430" ht="15.75" customHeight="1">
      <c r="A430" s="4"/>
      <c r="B430" s="4"/>
      <c r="C430" s="4"/>
      <c r="D430" s="4"/>
      <c r="E430" s="4"/>
      <c r="F430" s="4"/>
      <c r="G430" s="4"/>
      <c r="H430" s="4"/>
      <c r="I430" s="4"/>
    </row>
    <row r="431" ht="15.75" customHeight="1">
      <c r="A431" s="4"/>
      <c r="B431" s="4"/>
      <c r="C431" s="4"/>
      <c r="D431" s="4"/>
      <c r="E431" s="4"/>
      <c r="F431" s="4"/>
      <c r="G431" s="4"/>
      <c r="H431" s="4"/>
      <c r="I431" s="4"/>
    </row>
    <row r="432" ht="15.75" customHeight="1">
      <c r="A432" s="4"/>
      <c r="B432" s="4"/>
      <c r="C432" s="4"/>
      <c r="D432" s="4"/>
      <c r="E432" s="4"/>
      <c r="F432" s="4"/>
      <c r="G432" s="4"/>
      <c r="H432" s="4"/>
      <c r="I432" s="4"/>
    </row>
    <row r="433" ht="15.75" customHeight="1">
      <c r="A433" s="4"/>
      <c r="B433" s="4"/>
      <c r="C433" s="4"/>
      <c r="D433" s="4"/>
      <c r="E433" s="4"/>
      <c r="F433" s="4"/>
      <c r="G433" s="4"/>
      <c r="H433" s="4"/>
      <c r="I433" s="4"/>
    </row>
    <row r="434" ht="15.75" customHeight="1">
      <c r="A434" s="4"/>
      <c r="B434" s="4"/>
      <c r="C434" s="4"/>
      <c r="D434" s="4"/>
      <c r="E434" s="4"/>
      <c r="F434" s="4"/>
      <c r="G434" s="4"/>
      <c r="H434" s="4"/>
      <c r="I434" s="4"/>
    </row>
    <row r="435" ht="15.75" customHeight="1">
      <c r="A435" s="4"/>
      <c r="B435" s="4"/>
      <c r="C435" s="4"/>
      <c r="D435" s="4"/>
      <c r="E435" s="4"/>
      <c r="F435" s="4"/>
      <c r="G435" s="4"/>
      <c r="H435" s="4"/>
      <c r="I435" s="4"/>
    </row>
    <row r="436" ht="15.75" customHeight="1">
      <c r="A436" s="4"/>
      <c r="B436" s="4"/>
      <c r="C436" s="4"/>
      <c r="D436" s="4"/>
      <c r="E436" s="4"/>
      <c r="F436" s="4"/>
      <c r="G436" s="4"/>
      <c r="H436" s="4"/>
      <c r="I436" s="4"/>
    </row>
    <row r="437" ht="15.75" customHeight="1">
      <c r="A437" s="4"/>
      <c r="B437" s="4"/>
      <c r="C437" s="4"/>
      <c r="D437" s="4"/>
      <c r="E437" s="4"/>
      <c r="F437" s="4"/>
      <c r="G437" s="4"/>
      <c r="H437" s="4"/>
      <c r="I437" s="4"/>
    </row>
    <row r="438" ht="15.75" customHeight="1">
      <c r="A438" s="4"/>
      <c r="B438" s="4"/>
      <c r="C438" s="4"/>
      <c r="D438" s="4"/>
      <c r="E438" s="4"/>
      <c r="F438" s="4"/>
      <c r="G438" s="4"/>
      <c r="H438" s="4"/>
      <c r="I438" s="4"/>
    </row>
    <row r="439" ht="15.75" customHeight="1">
      <c r="A439" s="4"/>
      <c r="B439" s="4"/>
      <c r="C439" s="4"/>
      <c r="D439" s="4"/>
      <c r="E439" s="4"/>
      <c r="F439" s="4"/>
      <c r="G439" s="4"/>
      <c r="H439" s="4"/>
      <c r="I439" s="4"/>
    </row>
    <row r="440" ht="15.75" customHeight="1">
      <c r="A440" s="4"/>
      <c r="B440" s="4"/>
      <c r="C440" s="4"/>
      <c r="D440" s="4"/>
      <c r="E440" s="4"/>
      <c r="F440" s="4"/>
      <c r="G440" s="4"/>
      <c r="H440" s="4"/>
      <c r="I440" s="4"/>
    </row>
    <row r="441" ht="15.75" customHeight="1">
      <c r="A441" s="4"/>
      <c r="B441" s="4"/>
      <c r="C441" s="4"/>
      <c r="D441" s="4"/>
      <c r="E441" s="4"/>
      <c r="F441" s="4"/>
      <c r="G441" s="4"/>
      <c r="H441" s="4"/>
      <c r="I441" s="4"/>
    </row>
    <row r="442" ht="15.75" customHeight="1">
      <c r="A442" s="4"/>
      <c r="B442" s="4"/>
      <c r="C442" s="4"/>
      <c r="D442" s="4"/>
      <c r="E442" s="4"/>
      <c r="F442" s="4"/>
      <c r="G442" s="4"/>
      <c r="H442" s="4"/>
      <c r="I442" s="4"/>
    </row>
    <row r="443" ht="15.75" customHeight="1">
      <c r="A443" s="4"/>
      <c r="B443" s="4"/>
      <c r="C443" s="4"/>
      <c r="D443" s="4"/>
      <c r="E443" s="4"/>
      <c r="F443" s="4"/>
      <c r="G443" s="4"/>
      <c r="H443" s="4"/>
      <c r="I443" s="4"/>
    </row>
    <row r="444" ht="15.75" customHeight="1">
      <c r="A444" s="4"/>
      <c r="B444" s="4"/>
      <c r="C444" s="4"/>
      <c r="D444" s="4"/>
      <c r="E444" s="4"/>
      <c r="F444" s="4"/>
      <c r="G444" s="4"/>
      <c r="H444" s="4"/>
      <c r="I444" s="4"/>
    </row>
    <row r="445" ht="15.75" customHeight="1">
      <c r="A445" s="4"/>
      <c r="B445" s="4"/>
      <c r="C445" s="4"/>
      <c r="D445" s="4"/>
      <c r="E445" s="4"/>
      <c r="F445" s="4"/>
      <c r="G445" s="4"/>
      <c r="H445" s="4"/>
      <c r="I445" s="4"/>
    </row>
    <row r="446" ht="15.75" customHeight="1">
      <c r="A446" s="4"/>
      <c r="B446" s="4"/>
      <c r="C446" s="4"/>
      <c r="D446" s="4"/>
      <c r="E446" s="4"/>
      <c r="F446" s="4"/>
      <c r="G446" s="4"/>
      <c r="H446" s="4"/>
      <c r="I446" s="4"/>
    </row>
    <row r="447" ht="15.75" customHeight="1">
      <c r="A447" s="4"/>
      <c r="B447" s="4"/>
      <c r="C447" s="4"/>
      <c r="D447" s="4"/>
      <c r="E447" s="4"/>
      <c r="F447" s="4"/>
      <c r="G447" s="4"/>
      <c r="H447" s="4"/>
      <c r="I447" s="4"/>
    </row>
    <row r="448" ht="15.75" customHeight="1">
      <c r="A448" s="4"/>
      <c r="B448" s="4"/>
      <c r="C448" s="4"/>
      <c r="D448" s="4"/>
      <c r="E448" s="4"/>
      <c r="F448" s="4"/>
      <c r="G448" s="4"/>
      <c r="H448" s="4"/>
      <c r="I448" s="4"/>
    </row>
    <row r="449" ht="15.75" customHeight="1">
      <c r="A449" s="4"/>
      <c r="B449" s="4"/>
      <c r="C449" s="4"/>
      <c r="D449" s="4"/>
      <c r="E449" s="4"/>
      <c r="F449" s="4"/>
      <c r="G449" s="4"/>
      <c r="H449" s="4"/>
      <c r="I449" s="4"/>
    </row>
    <row r="450" ht="15.75" customHeight="1">
      <c r="A450" s="4"/>
      <c r="B450" s="4"/>
      <c r="C450" s="4"/>
      <c r="D450" s="4"/>
      <c r="E450" s="4"/>
      <c r="F450" s="4"/>
      <c r="G450" s="4"/>
      <c r="H450" s="4"/>
      <c r="I450" s="4"/>
    </row>
    <row r="451" ht="15.75" customHeight="1">
      <c r="A451" s="4"/>
      <c r="B451" s="4"/>
      <c r="C451" s="4"/>
      <c r="D451" s="4"/>
      <c r="E451" s="4"/>
      <c r="F451" s="4"/>
      <c r="G451" s="4"/>
      <c r="H451" s="4"/>
      <c r="I451" s="4"/>
    </row>
    <row r="452" ht="15.75" customHeight="1">
      <c r="A452" s="4"/>
      <c r="B452" s="4"/>
      <c r="C452" s="4"/>
      <c r="D452" s="4"/>
      <c r="E452" s="4"/>
      <c r="F452" s="4"/>
      <c r="G452" s="4"/>
      <c r="H452" s="4"/>
      <c r="I452" s="4"/>
    </row>
    <row r="453" ht="15.75" customHeight="1">
      <c r="A453" s="4"/>
      <c r="B453" s="4"/>
      <c r="C453" s="4"/>
      <c r="D453" s="4"/>
      <c r="E453" s="4"/>
      <c r="F453" s="4"/>
      <c r="G453" s="4"/>
      <c r="H453" s="4"/>
      <c r="I453" s="4"/>
    </row>
    <row r="454" ht="15.75" customHeight="1">
      <c r="A454" s="4"/>
      <c r="B454" s="4"/>
      <c r="C454" s="4"/>
      <c r="D454" s="4"/>
      <c r="E454" s="4"/>
      <c r="F454" s="4"/>
      <c r="G454" s="4"/>
      <c r="H454" s="4"/>
      <c r="I454" s="4"/>
    </row>
    <row r="455" ht="15.75" customHeight="1">
      <c r="A455" s="4"/>
      <c r="B455" s="4"/>
      <c r="C455" s="4"/>
      <c r="D455" s="4"/>
      <c r="E455" s="4"/>
      <c r="F455" s="4"/>
      <c r="G455" s="4"/>
      <c r="H455" s="4"/>
      <c r="I455" s="4"/>
    </row>
    <row r="456" ht="15.75" customHeight="1">
      <c r="A456" s="4"/>
      <c r="B456" s="4"/>
      <c r="C456" s="4"/>
      <c r="D456" s="4"/>
      <c r="E456" s="4"/>
      <c r="F456" s="4"/>
      <c r="G456" s="4"/>
      <c r="H456" s="4"/>
      <c r="I456" s="4"/>
    </row>
    <row r="457" ht="15.75" customHeight="1">
      <c r="A457" s="4"/>
      <c r="B457" s="4"/>
      <c r="C457" s="4"/>
      <c r="D457" s="4"/>
      <c r="E457" s="4"/>
      <c r="F457" s="4"/>
      <c r="G457" s="4"/>
      <c r="H457" s="4"/>
      <c r="I457" s="4"/>
    </row>
    <row r="458" ht="15.75" customHeight="1">
      <c r="A458" s="4"/>
      <c r="B458" s="4"/>
      <c r="C458" s="4"/>
      <c r="D458" s="4"/>
      <c r="E458" s="4"/>
      <c r="F458" s="4"/>
      <c r="G458" s="4"/>
      <c r="H458" s="4"/>
      <c r="I458" s="4"/>
    </row>
    <row r="459" ht="15.75" customHeight="1">
      <c r="A459" s="4"/>
      <c r="B459" s="4"/>
      <c r="C459" s="4"/>
      <c r="D459" s="4"/>
      <c r="E459" s="4"/>
      <c r="F459" s="4"/>
      <c r="G459" s="4"/>
      <c r="H459" s="4"/>
      <c r="I459" s="4"/>
    </row>
    <row r="460" ht="15.75" customHeight="1">
      <c r="A460" s="4"/>
      <c r="B460" s="4"/>
      <c r="C460" s="4"/>
      <c r="D460" s="4"/>
      <c r="E460" s="4"/>
      <c r="F460" s="4"/>
      <c r="G460" s="4"/>
      <c r="H460" s="4"/>
      <c r="I460" s="4"/>
    </row>
    <row r="461" ht="15.75" customHeight="1">
      <c r="A461" s="4"/>
      <c r="B461" s="4"/>
      <c r="C461" s="4"/>
      <c r="D461" s="4"/>
      <c r="E461" s="4"/>
      <c r="F461" s="4"/>
      <c r="G461" s="4"/>
      <c r="H461" s="4"/>
      <c r="I461" s="4"/>
    </row>
    <row r="462" ht="15.75" customHeight="1">
      <c r="A462" s="4"/>
      <c r="B462" s="4"/>
      <c r="C462" s="4"/>
      <c r="D462" s="4"/>
      <c r="E462" s="4"/>
      <c r="F462" s="4"/>
      <c r="G462" s="4"/>
      <c r="H462" s="4"/>
      <c r="I462" s="4"/>
    </row>
    <row r="463" ht="15.75" customHeight="1">
      <c r="A463" s="4"/>
      <c r="B463" s="4"/>
      <c r="C463" s="4"/>
      <c r="D463" s="4"/>
      <c r="E463" s="4"/>
      <c r="F463" s="4"/>
      <c r="G463" s="4"/>
      <c r="H463" s="4"/>
      <c r="I463" s="4"/>
    </row>
    <row r="464" ht="15.75" customHeight="1">
      <c r="A464" s="4"/>
      <c r="B464" s="4"/>
      <c r="C464" s="4"/>
      <c r="D464" s="4"/>
      <c r="E464" s="4"/>
      <c r="F464" s="4"/>
      <c r="G464" s="4"/>
      <c r="H464" s="4"/>
      <c r="I464" s="4"/>
    </row>
    <row r="465" ht="15.75" customHeight="1">
      <c r="A465" s="4"/>
      <c r="B465" s="4"/>
      <c r="C465" s="4"/>
      <c r="D465" s="4"/>
      <c r="E465" s="4"/>
      <c r="F465" s="4"/>
      <c r="G465" s="4"/>
      <c r="H465" s="4"/>
      <c r="I465" s="4"/>
    </row>
    <row r="466" ht="15.75" customHeight="1">
      <c r="A466" s="4"/>
      <c r="B466" s="4"/>
      <c r="C466" s="4"/>
      <c r="D466" s="4"/>
      <c r="E466" s="4"/>
      <c r="F466" s="4"/>
      <c r="G466" s="4"/>
      <c r="H466" s="4"/>
      <c r="I466" s="4"/>
    </row>
    <row r="467" ht="15.75" customHeight="1">
      <c r="A467" s="4"/>
      <c r="B467" s="4"/>
      <c r="C467" s="4"/>
      <c r="D467" s="4"/>
      <c r="E467" s="4"/>
      <c r="F467" s="4"/>
      <c r="G467" s="4"/>
      <c r="H467" s="4"/>
      <c r="I467" s="4"/>
    </row>
    <row r="468" ht="15.75" customHeight="1">
      <c r="A468" s="4"/>
      <c r="B468" s="4"/>
      <c r="C468" s="4"/>
      <c r="D468" s="4"/>
      <c r="E468" s="4"/>
      <c r="F468" s="4"/>
      <c r="G468" s="4"/>
      <c r="H468" s="4"/>
      <c r="I468" s="4"/>
    </row>
    <row r="469" ht="15.75" customHeight="1">
      <c r="A469" s="4"/>
      <c r="B469" s="4"/>
      <c r="C469" s="4"/>
      <c r="D469" s="4"/>
      <c r="E469" s="4"/>
      <c r="F469" s="4"/>
      <c r="G469" s="4"/>
      <c r="H469" s="4"/>
      <c r="I469" s="4"/>
    </row>
    <row r="470" ht="15.75" customHeight="1">
      <c r="A470" s="4"/>
      <c r="B470" s="4"/>
      <c r="C470" s="4"/>
      <c r="D470" s="4"/>
      <c r="E470" s="4"/>
      <c r="F470" s="4"/>
      <c r="G470" s="4"/>
      <c r="H470" s="4"/>
      <c r="I470" s="4"/>
    </row>
    <row r="471" ht="15.75" customHeight="1">
      <c r="A471" s="4"/>
      <c r="B471" s="4"/>
      <c r="C471" s="4"/>
      <c r="D471" s="4"/>
      <c r="E471" s="4"/>
      <c r="F471" s="4"/>
      <c r="G471" s="4"/>
      <c r="H471" s="4"/>
      <c r="I471" s="4"/>
    </row>
    <row r="472" ht="15.75" customHeight="1">
      <c r="A472" s="4"/>
      <c r="B472" s="4"/>
      <c r="C472" s="4"/>
      <c r="D472" s="4"/>
      <c r="E472" s="4"/>
      <c r="F472" s="4"/>
      <c r="G472" s="4"/>
      <c r="H472" s="4"/>
      <c r="I472" s="4"/>
    </row>
    <row r="473" ht="15.75" customHeight="1">
      <c r="A473" s="4"/>
      <c r="B473" s="4"/>
      <c r="C473" s="4"/>
      <c r="D473" s="4"/>
      <c r="E473" s="4"/>
      <c r="F473" s="4"/>
      <c r="G473" s="4"/>
      <c r="H473" s="4"/>
      <c r="I473" s="4"/>
    </row>
    <row r="474" ht="15.75" customHeight="1">
      <c r="A474" s="4"/>
      <c r="B474" s="4"/>
      <c r="C474" s="4"/>
      <c r="D474" s="4"/>
      <c r="E474" s="4"/>
      <c r="F474" s="4"/>
      <c r="G474" s="4"/>
      <c r="H474" s="4"/>
      <c r="I474" s="4"/>
    </row>
    <row r="475" ht="15.75" customHeight="1">
      <c r="A475" s="4"/>
      <c r="B475" s="4"/>
      <c r="C475" s="4"/>
      <c r="D475" s="4"/>
      <c r="E475" s="4"/>
      <c r="F475" s="4"/>
      <c r="G475" s="4"/>
      <c r="H475" s="4"/>
      <c r="I475" s="4"/>
    </row>
    <row r="476" ht="15.75" customHeight="1">
      <c r="A476" s="4"/>
      <c r="B476" s="4"/>
      <c r="C476" s="4"/>
      <c r="D476" s="4"/>
      <c r="E476" s="4"/>
      <c r="F476" s="4"/>
      <c r="G476" s="4"/>
      <c r="H476" s="4"/>
      <c r="I476" s="4"/>
    </row>
    <row r="477" ht="15.75" customHeight="1">
      <c r="A477" s="4"/>
      <c r="B477" s="4"/>
      <c r="C477" s="4"/>
      <c r="D477" s="4"/>
      <c r="E477" s="4"/>
      <c r="F477" s="4"/>
      <c r="G477" s="4"/>
      <c r="H477" s="4"/>
      <c r="I477" s="4"/>
    </row>
    <row r="478" ht="15.75" customHeight="1">
      <c r="A478" s="4"/>
      <c r="B478" s="4"/>
      <c r="C478" s="4"/>
      <c r="D478" s="4"/>
      <c r="E478" s="4"/>
      <c r="F478" s="4"/>
      <c r="G478" s="4"/>
      <c r="H478" s="4"/>
      <c r="I478" s="4"/>
    </row>
    <row r="479" ht="15.75" customHeight="1">
      <c r="A479" s="4"/>
      <c r="B479" s="4"/>
      <c r="C479" s="4"/>
      <c r="D479" s="4"/>
      <c r="E479" s="4"/>
      <c r="F479" s="4"/>
      <c r="G479" s="4"/>
      <c r="H479" s="4"/>
      <c r="I479" s="4"/>
    </row>
    <row r="480" ht="15.75" customHeight="1">
      <c r="A480" s="4"/>
      <c r="B480" s="4"/>
      <c r="C480" s="4"/>
      <c r="D480" s="4"/>
      <c r="E480" s="4"/>
      <c r="F480" s="4"/>
      <c r="G480" s="4"/>
      <c r="H480" s="4"/>
      <c r="I480" s="4"/>
    </row>
    <row r="481" ht="15.75" customHeight="1">
      <c r="A481" s="4"/>
      <c r="B481" s="4"/>
      <c r="C481" s="4"/>
      <c r="D481" s="4"/>
      <c r="E481" s="4"/>
      <c r="F481" s="4"/>
      <c r="G481" s="4"/>
      <c r="H481" s="4"/>
      <c r="I481" s="4"/>
    </row>
    <row r="482" ht="15.75" customHeight="1">
      <c r="A482" s="4"/>
      <c r="B482" s="4"/>
      <c r="C482" s="4"/>
      <c r="D482" s="4"/>
      <c r="E482" s="4"/>
      <c r="F482" s="4"/>
      <c r="G482" s="4"/>
      <c r="H482" s="4"/>
      <c r="I482" s="4"/>
    </row>
    <row r="483" ht="15.75" customHeight="1">
      <c r="A483" s="4"/>
      <c r="B483" s="4"/>
      <c r="C483" s="4"/>
      <c r="D483" s="4"/>
      <c r="E483" s="4"/>
      <c r="F483" s="4"/>
      <c r="G483" s="4"/>
      <c r="H483" s="4"/>
      <c r="I483" s="4"/>
    </row>
    <row r="484" ht="15.75" customHeight="1">
      <c r="A484" s="4"/>
      <c r="B484" s="4"/>
      <c r="C484" s="4"/>
      <c r="D484" s="4"/>
      <c r="E484" s="4"/>
      <c r="F484" s="4"/>
      <c r="G484" s="4"/>
      <c r="H484" s="4"/>
      <c r="I484" s="4"/>
    </row>
    <row r="485" ht="15.75" customHeight="1">
      <c r="A485" s="4"/>
      <c r="B485" s="4"/>
      <c r="C485" s="4"/>
      <c r="D485" s="4"/>
      <c r="E485" s="4"/>
      <c r="F485" s="4"/>
      <c r="G485" s="4"/>
      <c r="H485" s="4"/>
      <c r="I485" s="4"/>
    </row>
    <row r="486" ht="15.75" customHeight="1">
      <c r="A486" s="4"/>
      <c r="B486" s="4"/>
      <c r="C486" s="4"/>
      <c r="D486" s="4"/>
      <c r="E486" s="4"/>
      <c r="F486" s="4"/>
      <c r="G486" s="4"/>
      <c r="H486" s="4"/>
      <c r="I486" s="4"/>
    </row>
    <row r="487" ht="15.75" customHeight="1">
      <c r="A487" s="4"/>
      <c r="B487" s="4"/>
      <c r="C487" s="4"/>
      <c r="D487" s="4"/>
      <c r="E487" s="4"/>
      <c r="F487" s="4"/>
      <c r="G487" s="4"/>
      <c r="H487" s="4"/>
      <c r="I487" s="4"/>
    </row>
    <row r="488" ht="15.75" customHeight="1">
      <c r="A488" s="4"/>
      <c r="B488" s="4"/>
      <c r="C488" s="4"/>
      <c r="D488" s="4"/>
      <c r="E488" s="4"/>
      <c r="F488" s="4"/>
      <c r="G488" s="4"/>
      <c r="H488" s="4"/>
      <c r="I488" s="4"/>
    </row>
    <row r="489" ht="15.75" customHeight="1">
      <c r="A489" s="4"/>
      <c r="B489" s="4"/>
      <c r="C489" s="4"/>
      <c r="D489" s="4"/>
      <c r="E489" s="4"/>
      <c r="F489" s="4"/>
      <c r="G489" s="4"/>
      <c r="H489" s="4"/>
      <c r="I489" s="4"/>
    </row>
    <row r="490" ht="15.75" customHeight="1">
      <c r="A490" s="4"/>
      <c r="B490" s="4"/>
      <c r="C490" s="4"/>
      <c r="D490" s="4"/>
      <c r="E490" s="4"/>
      <c r="F490" s="4"/>
      <c r="G490" s="4"/>
      <c r="H490" s="4"/>
      <c r="I490" s="4"/>
    </row>
    <row r="491" ht="15.75" customHeight="1">
      <c r="A491" s="4"/>
      <c r="B491" s="4"/>
      <c r="C491" s="4"/>
      <c r="D491" s="4"/>
      <c r="E491" s="4"/>
      <c r="F491" s="4"/>
      <c r="G491" s="4"/>
      <c r="H491" s="4"/>
      <c r="I491" s="4"/>
    </row>
    <row r="492" ht="15.75" customHeight="1">
      <c r="A492" s="4"/>
      <c r="B492" s="4"/>
      <c r="C492" s="4"/>
      <c r="D492" s="4"/>
      <c r="E492" s="4"/>
      <c r="F492" s="4"/>
      <c r="G492" s="4"/>
      <c r="H492" s="4"/>
      <c r="I492" s="4"/>
    </row>
    <row r="493" ht="15.75" customHeight="1">
      <c r="A493" s="4"/>
      <c r="B493" s="4"/>
      <c r="C493" s="4"/>
      <c r="D493" s="4"/>
      <c r="E493" s="4"/>
      <c r="F493" s="4"/>
      <c r="G493" s="4"/>
      <c r="H493" s="4"/>
      <c r="I493" s="4"/>
    </row>
    <row r="494" ht="15.75" customHeight="1">
      <c r="A494" s="4"/>
      <c r="B494" s="4"/>
      <c r="C494" s="4"/>
      <c r="D494" s="4"/>
      <c r="E494" s="4"/>
      <c r="F494" s="4"/>
      <c r="G494" s="4"/>
      <c r="H494" s="4"/>
      <c r="I494" s="4"/>
    </row>
    <row r="495" ht="15.75" customHeight="1">
      <c r="A495" s="4"/>
      <c r="B495" s="4"/>
      <c r="C495" s="4"/>
      <c r="D495" s="4"/>
      <c r="E495" s="4"/>
      <c r="F495" s="4"/>
      <c r="G495" s="4"/>
      <c r="H495" s="4"/>
      <c r="I495" s="4"/>
    </row>
    <row r="496" ht="15.75" customHeight="1">
      <c r="A496" s="4"/>
      <c r="B496" s="4"/>
      <c r="C496" s="4"/>
      <c r="D496" s="4"/>
      <c r="E496" s="4"/>
      <c r="F496" s="4"/>
      <c r="G496" s="4"/>
      <c r="H496" s="4"/>
      <c r="I496" s="4"/>
    </row>
    <row r="497" ht="15.75" customHeight="1">
      <c r="A497" s="4"/>
      <c r="B497" s="4"/>
      <c r="C497" s="4"/>
      <c r="D497" s="4"/>
      <c r="E497" s="4"/>
      <c r="F497" s="4"/>
      <c r="G497" s="4"/>
      <c r="H497" s="4"/>
      <c r="I497" s="4"/>
    </row>
    <row r="498" ht="15.75" customHeight="1">
      <c r="A498" s="4"/>
      <c r="B498" s="4"/>
      <c r="C498" s="4"/>
      <c r="D498" s="4"/>
      <c r="E498" s="4"/>
      <c r="F498" s="4"/>
      <c r="G498" s="4"/>
      <c r="H498" s="4"/>
      <c r="I498" s="4"/>
    </row>
    <row r="499" ht="15.75" customHeight="1">
      <c r="A499" s="4"/>
      <c r="B499" s="4"/>
      <c r="C499" s="4"/>
      <c r="D499" s="4"/>
      <c r="E499" s="4"/>
      <c r="F499" s="4"/>
      <c r="G499" s="4"/>
      <c r="H499" s="4"/>
      <c r="I499" s="4"/>
    </row>
    <row r="500" ht="15.75" customHeight="1">
      <c r="A500" s="4"/>
      <c r="B500" s="4"/>
      <c r="C500" s="4"/>
      <c r="D500" s="4"/>
      <c r="E500" s="4"/>
      <c r="F500" s="4"/>
      <c r="G500" s="4"/>
      <c r="H500" s="4"/>
      <c r="I500" s="4"/>
    </row>
    <row r="501" ht="15.75" customHeight="1">
      <c r="A501" s="4"/>
      <c r="B501" s="4"/>
      <c r="C501" s="4"/>
      <c r="D501" s="4"/>
      <c r="E501" s="4"/>
      <c r="F501" s="4"/>
      <c r="G501" s="4"/>
      <c r="H501" s="4"/>
      <c r="I501" s="4"/>
    </row>
    <row r="502" ht="15.75" customHeight="1">
      <c r="A502" s="4"/>
      <c r="B502" s="4"/>
      <c r="C502" s="4"/>
      <c r="D502" s="4"/>
      <c r="E502" s="4"/>
      <c r="F502" s="4"/>
      <c r="G502" s="4"/>
      <c r="H502" s="4"/>
      <c r="I502" s="4"/>
    </row>
    <row r="503" ht="15.75" customHeight="1">
      <c r="A503" s="4"/>
      <c r="B503" s="4"/>
      <c r="C503" s="4"/>
      <c r="D503" s="4"/>
      <c r="E503" s="4"/>
      <c r="F503" s="4"/>
      <c r="G503" s="4"/>
      <c r="H503" s="4"/>
      <c r="I503" s="4"/>
    </row>
    <row r="504" ht="15.75" customHeight="1">
      <c r="A504" s="4"/>
      <c r="B504" s="4"/>
      <c r="C504" s="4"/>
      <c r="D504" s="4"/>
      <c r="E504" s="4"/>
      <c r="F504" s="4"/>
      <c r="G504" s="4"/>
      <c r="H504" s="4"/>
      <c r="I504" s="4"/>
    </row>
    <row r="505" ht="15.75" customHeight="1">
      <c r="A505" s="4"/>
      <c r="B505" s="4"/>
      <c r="C505" s="4"/>
      <c r="D505" s="4"/>
      <c r="E505" s="4"/>
      <c r="F505" s="4"/>
      <c r="G505" s="4"/>
      <c r="H505" s="4"/>
      <c r="I505" s="4"/>
    </row>
    <row r="506" ht="15.75" customHeight="1">
      <c r="A506" s="4"/>
      <c r="B506" s="4"/>
      <c r="C506" s="4"/>
      <c r="D506" s="4"/>
      <c r="E506" s="4"/>
      <c r="F506" s="4"/>
      <c r="G506" s="4"/>
      <c r="H506" s="4"/>
      <c r="I506" s="4"/>
    </row>
    <row r="507" ht="15.75" customHeight="1">
      <c r="A507" s="4"/>
      <c r="B507" s="4"/>
      <c r="C507" s="4"/>
      <c r="D507" s="4"/>
      <c r="E507" s="4"/>
      <c r="F507" s="4"/>
      <c r="G507" s="4"/>
      <c r="H507" s="4"/>
      <c r="I507" s="4"/>
    </row>
    <row r="508" ht="15.75" customHeight="1">
      <c r="A508" s="4"/>
      <c r="B508" s="4"/>
      <c r="C508" s="4"/>
      <c r="D508" s="4"/>
      <c r="E508" s="4"/>
      <c r="F508" s="4"/>
      <c r="G508" s="4"/>
      <c r="H508" s="4"/>
      <c r="I508" s="4"/>
    </row>
    <row r="509" ht="15.75" customHeight="1">
      <c r="A509" s="4"/>
      <c r="B509" s="4"/>
      <c r="C509" s="4"/>
      <c r="D509" s="4"/>
      <c r="E509" s="4"/>
      <c r="F509" s="4"/>
      <c r="G509" s="4"/>
      <c r="H509" s="4"/>
      <c r="I509" s="4"/>
    </row>
    <row r="510" ht="15.75" customHeight="1">
      <c r="A510" s="4"/>
      <c r="B510" s="4"/>
      <c r="C510" s="4"/>
      <c r="D510" s="4"/>
      <c r="E510" s="4"/>
      <c r="F510" s="4"/>
      <c r="G510" s="4"/>
      <c r="H510" s="4"/>
      <c r="I510" s="4"/>
    </row>
    <row r="511" ht="15.75" customHeight="1">
      <c r="A511" s="4"/>
      <c r="B511" s="4"/>
      <c r="C511" s="4"/>
      <c r="D511" s="4"/>
      <c r="E511" s="4"/>
      <c r="F511" s="4"/>
      <c r="G511" s="4"/>
      <c r="H511" s="4"/>
      <c r="I511" s="4"/>
    </row>
    <row r="512" ht="15.75" customHeight="1">
      <c r="A512" s="4"/>
      <c r="B512" s="4"/>
      <c r="C512" s="4"/>
      <c r="D512" s="4"/>
      <c r="E512" s="4"/>
      <c r="F512" s="4"/>
      <c r="G512" s="4"/>
      <c r="H512" s="4"/>
      <c r="I512" s="4"/>
    </row>
    <row r="513" ht="15.75" customHeight="1">
      <c r="A513" s="4"/>
      <c r="B513" s="4"/>
      <c r="C513" s="4"/>
      <c r="D513" s="4"/>
      <c r="E513" s="4"/>
      <c r="F513" s="4"/>
      <c r="G513" s="4"/>
      <c r="H513" s="4"/>
      <c r="I513" s="4"/>
    </row>
    <row r="514" ht="15.75" customHeight="1">
      <c r="A514" s="4"/>
      <c r="B514" s="4"/>
      <c r="C514" s="4"/>
      <c r="D514" s="4"/>
      <c r="E514" s="4"/>
      <c r="F514" s="4"/>
      <c r="G514" s="4"/>
      <c r="H514" s="4"/>
      <c r="I514" s="4"/>
    </row>
    <row r="515" ht="15.75" customHeight="1">
      <c r="A515" s="4"/>
      <c r="B515" s="4"/>
      <c r="C515" s="4"/>
      <c r="D515" s="4"/>
      <c r="E515" s="4"/>
      <c r="F515" s="4"/>
      <c r="G515" s="4"/>
      <c r="H515" s="4"/>
      <c r="I515" s="4"/>
    </row>
    <row r="516" ht="15.75" customHeight="1">
      <c r="A516" s="4"/>
      <c r="B516" s="4"/>
      <c r="C516" s="4"/>
      <c r="D516" s="4"/>
      <c r="E516" s="4"/>
      <c r="F516" s="4"/>
      <c r="G516" s="4"/>
      <c r="H516" s="4"/>
      <c r="I516" s="4"/>
    </row>
    <row r="517" ht="15.75" customHeight="1">
      <c r="A517" s="4"/>
      <c r="B517" s="4"/>
      <c r="C517" s="4"/>
      <c r="D517" s="4"/>
      <c r="E517" s="4"/>
      <c r="F517" s="4"/>
      <c r="G517" s="4"/>
      <c r="H517" s="4"/>
      <c r="I517" s="4"/>
    </row>
    <row r="518" ht="15.75" customHeight="1">
      <c r="A518" s="4"/>
      <c r="B518" s="4"/>
      <c r="C518" s="4"/>
      <c r="D518" s="4"/>
      <c r="E518" s="4"/>
      <c r="F518" s="4"/>
      <c r="G518" s="4"/>
      <c r="H518" s="4"/>
      <c r="I518" s="4"/>
    </row>
    <row r="519" ht="15.75" customHeight="1">
      <c r="A519" s="4"/>
      <c r="B519" s="4"/>
      <c r="C519" s="4"/>
      <c r="D519" s="4"/>
      <c r="E519" s="4"/>
      <c r="F519" s="4"/>
      <c r="G519" s="4"/>
      <c r="H519" s="4"/>
      <c r="I519" s="4"/>
    </row>
    <row r="520" ht="15.75" customHeight="1">
      <c r="A520" s="4"/>
      <c r="B520" s="4"/>
      <c r="C520" s="4"/>
      <c r="D520" s="4"/>
      <c r="E520" s="4"/>
      <c r="F520" s="4"/>
      <c r="G520" s="4"/>
      <c r="H520" s="4"/>
      <c r="I520" s="4"/>
    </row>
    <row r="521" ht="15.75" customHeight="1">
      <c r="A521" s="4"/>
      <c r="B521" s="4"/>
      <c r="C521" s="4"/>
      <c r="D521" s="4"/>
      <c r="E521" s="4"/>
      <c r="F521" s="4"/>
      <c r="G521" s="4"/>
      <c r="H521" s="4"/>
      <c r="I521" s="4"/>
    </row>
    <row r="522" ht="15.75" customHeight="1">
      <c r="A522" s="4"/>
      <c r="B522" s="4"/>
      <c r="C522" s="4"/>
      <c r="D522" s="4"/>
      <c r="E522" s="4"/>
      <c r="F522" s="4"/>
      <c r="G522" s="4"/>
      <c r="H522" s="4"/>
      <c r="I522" s="4"/>
    </row>
    <row r="523" ht="15.75" customHeight="1">
      <c r="A523" s="4"/>
      <c r="B523" s="4"/>
      <c r="C523" s="4"/>
      <c r="D523" s="4"/>
      <c r="E523" s="4"/>
      <c r="F523" s="4"/>
      <c r="G523" s="4"/>
      <c r="H523" s="4"/>
      <c r="I523" s="4"/>
    </row>
    <row r="524" ht="15.75" customHeight="1">
      <c r="A524" s="4"/>
      <c r="B524" s="4"/>
      <c r="C524" s="4"/>
      <c r="D524" s="4"/>
      <c r="E524" s="4"/>
      <c r="F524" s="4"/>
      <c r="G524" s="4"/>
      <c r="H524" s="4"/>
      <c r="I524" s="4"/>
    </row>
    <row r="525" ht="15.75" customHeight="1">
      <c r="A525" s="4"/>
      <c r="B525" s="4"/>
      <c r="C525" s="4"/>
      <c r="D525" s="4"/>
      <c r="E525" s="4"/>
      <c r="F525" s="4"/>
      <c r="G525" s="4"/>
      <c r="H525" s="4"/>
      <c r="I525" s="4"/>
    </row>
    <row r="526" ht="15.75" customHeight="1">
      <c r="A526" s="4"/>
      <c r="B526" s="4"/>
      <c r="C526" s="4"/>
      <c r="D526" s="4"/>
      <c r="E526" s="4"/>
      <c r="F526" s="4"/>
      <c r="G526" s="4"/>
      <c r="H526" s="4"/>
      <c r="I526" s="4"/>
    </row>
    <row r="527" ht="15.75" customHeight="1">
      <c r="A527" s="4"/>
      <c r="B527" s="4"/>
      <c r="C527" s="4"/>
      <c r="D527" s="4"/>
      <c r="E527" s="4"/>
      <c r="F527" s="4"/>
      <c r="G527" s="4"/>
      <c r="H527" s="4"/>
      <c r="I527" s="4"/>
    </row>
    <row r="528" ht="15.75" customHeight="1">
      <c r="A528" s="4"/>
      <c r="B528" s="4"/>
      <c r="C528" s="4"/>
      <c r="D528" s="4"/>
      <c r="E528" s="4"/>
      <c r="F528" s="4"/>
      <c r="G528" s="4"/>
      <c r="H528" s="4"/>
      <c r="I528" s="4"/>
    </row>
    <row r="529" ht="15.75" customHeight="1">
      <c r="A529" s="4"/>
      <c r="B529" s="4"/>
      <c r="C529" s="4"/>
      <c r="D529" s="4"/>
      <c r="E529" s="4"/>
      <c r="F529" s="4"/>
      <c r="G529" s="4"/>
      <c r="H529" s="4"/>
      <c r="I529" s="4"/>
    </row>
    <row r="530" ht="15.75" customHeight="1">
      <c r="A530" s="4"/>
      <c r="B530" s="4"/>
      <c r="C530" s="4"/>
      <c r="D530" s="4"/>
      <c r="E530" s="4"/>
      <c r="F530" s="4"/>
      <c r="G530" s="4"/>
      <c r="H530" s="4"/>
      <c r="I530" s="4"/>
    </row>
    <row r="531" ht="15.75" customHeight="1">
      <c r="A531" s="4"/>
      <c r="B531" s="4"/>
      <c r="C531" s="4"/>
      <c r="D531" s="4"/>
      <c r="E531" s="4"/>
      <c r="F531" s="4"/>
      <c r="G531" s="4"/>
      <c r="H531" s="4"/>
      <c r="I531" s="4"/>
    </row>
    <row r="532" ht="15.75" customHeight="1">
      <c r="A532" s="4"/>
      <c r="B532" s="4"/>
      <c r="C532" s="4"/>
      <c r="D532" s="4"/>
      <c r="E532" s="4"/>
      <c r="F532" s="4"/>
      <c r="G532" s="4"/>
      <c r="H532" s="4"/>
      <c r="I532" s="4"/>
    </row>
    <row r="533" ht="15.75" customHeight="1">
      <c r="A533" s="4"/>
      <c r="B533" s="4"/>
      <c r="C533" s="4"/>
      <c r="D533" s="4"/>
      <c r="E533" s="4"/>
      <c r="F533" s="4"/>
      <c r="G533" s="4"/>
      <c r="H533" s="4"/>
      <c r="I533" s="4"/>
    </row>
    <row r="534" ht="15.75" customHeight="1">
      <c r="A534" s="4"/>
      <c r="B534" s="4"/>
      <c r="C534" s="4"/>
      <c r="D534" s="4"/>
      <c r="E534" s="4"/>
      <c r="F534" s="4"/>
      <c r="G534" s="4"/>
      <c r="H534" s="4"/>
      <c r="I534" s="4"/>
    </row>
    <row r="535" ht="15.75" customHeight="1">
      <c r="A535" s="4"/>
      <c r="B535" s="4"/>
      <c r="C535" s="4"/>
      <c r="D535" s="4"/>
      <c r="E535" s="4"/>
      <c r="F535" s="4"/>
      <c r="G535" s="4"/>
      <c r="H535" s="4"/>
      <c r="I535" s="4"/>
    </row>
    <row r="536" ht="15.75" customHeight="1">
      <c r="A536" s="4"/>
      <c r="B536" s="4"/>
      <c r="C536" s="4"/>
      <c r="D536" s="4"/>
      <c r="E536" s="4"/>
      <c r="F536" s="4"/>
      <c r="G536" s="4"/>
      <c r="H536" s="4"/>
      <c r="I536" s="4"/>
    </row>
    <row r="537" ht="15.75" customHeight="1">
      <c r="A537" s="4"/>
      <c r="B537" s="4"/>
      <c r="C537" s="4"/>
      <c r="D537" s="4"/>
      <c r="E537" s="4"/>
      <c r="F537" s="4"/>
      <c r="G537" s="4"/>
      <c r="H537" s="4"/>
      <c r="I537" s="4"/>
    </row>
    <row r="538" ht="15.75" customHeight="1">
      <c r="A538" s="4"/>
      <c r="B538" s="4"/>
      <c r="C538" s="4"/>
      <c r="D538" s="4"/>
      <c r="E538" s="4"/>
      <c r="F538" s="4"/>
      <c r="G538" s="4"/>
      <c r="H538" s="4"/>
      <c r="I538" s="4"/>
    </row>
    <row r="539" ht="15.75" customHeight="1">
      <c r="A539" s="4"/>
      <c r="B539" s="4"/>
      <c r="C539" s="4"/>
      <c r="D539" s="4"/>
      <c r="E539" s="4"/>
      <c r="F539" s="4"/>
      <c r="G539" s="4"/>
      <c r="H539" s="4"/>
      <c r="I539" s="4"/>
    </row>
    <row r="540" ht="15.75" customHeight="1">
      <c r="A540" s="4"/>
      <c r="B540" s="4"/>
      <c r="C540" s="4"/>
      <c r="D540" s="4"/>
      <c r="E540" s="4"/>
      <c r="F540" s="4"/>
      <c r="G540" s="4"/>
      <c r="H540" s="4"/>
      <c r="I540" s="4"/>
    </row>
    <row r="541" ht="15.75" customHeight="1">
      <c r="A541" s="4"/>
      <c r="B541" s="4"/>
      <c r="C541" s="4"/>
      <c r="D541" s="4"/>
      <c r="E541" s="4"/>
      <c r="F541" s="4"/>
      <c r="G541" s="4"/>
      <c r="H541" s="4"/>
      <c r="I541" s="4"/>
    </row>
    <row r="542" ht="15.75" customHeight="1">
      <c r="A542" s="4"/>
      <c r="B542" s="4"/>
      <c r="C542" s="4"/>
      <c r="D542" s="4"/>
      <c r="E542" s="4"/>
      <c r="F542" s="4"/>
      <c r="G542" s="4"/>
      <c r="H542" s="4"/>
      <c r="I542" s="4"/>
    </row>
    <row r="543" ht="15.75" customHeight="1">
      <c r="A543" s="4"/>
      <c r="B543" s="4"/>
      <c r="C543" s="4"/>
      <c r="D543" s="4"/>
      <c r="E543" s="4"/>
      <c r="F543" s="4"/>
      <c r="G543" s="4"/>
      <c r="H543" s="4"/>
      <c r="I543" s="4"/>
    </row>
    <row r="544" ht="15.75" customHeight="1">
      <c r="A544" s="4"/>
      <c r="B544" s="4"/>
      <c r="C544" s="4"/>
      <c r="D544" s="4"/>
      <c r="E544" s="4"/>
      <c r="F544" s="4"/>
      <c r="G544" s="4"/>
      <c r="H544" s="4"/>
      <c r="I544" s="4"/>
    </row>
    <row r="545" ht="15.75" customHeight="1">
      <c r="A545" s="4"/>
      <c r="B545" s="4"/>
      <c r="C545" s="4"/>
      <c r="D545" s="4"/>
      <c r="E545" s="4"/>
      <c r="F545" s="4"/>
      <c r="G545" s="4"/>
      <c r="H545" s="4"/>
      <c r="I545" s="4"/>
    </row>
    <row r="546" ht="15.75" customHeight="1">
      <c r="A546" s="4"/>
      <c r="B546" s="4"/>
      <c r="C546" s="4"/>
      <c r="D546" s="4"/>
      <c r="E546" s="4"/>
      <c r="F546" s="4"/>
      <c r="G546" s="4"/>
      <c r="H546" s="4"/>
      <c r="I546" s="4"/>
    </row>
    <row r="547" ht="15.75" customHeight="1">
      <c r="A547" s="4"/>
      <c r="B547" s="4"/>
      <c r="C547" s="4"/>
      <c r="D547" s="4"/>
      <c r="E547" s="4"/>
      <c r="F547" s="4"/>
      <c r="G547" s="4"/>
      <c r="H547" s="4"/>
      <c r="I547" s="4"/>
    </row>
    <row r="548" ht="15.75" customHeight="1">
      <c r="A548" s="4"/>
      <c r="B548" s="4"/>
      <c r="C548" s="4"/>
      <c r="D548" s="4"/>
      <c r="E548" s="4"/>
      <c r="F548" s="4"/>
      <c r="G548" s="4"/>
      <c r="H548" s="4"/>
      <c r="I548" s="4"/>
    </row>
    <row r="549" ht="15.75" customHeight="1">
      <c r="A549" s="4"/>
      <c r="B549" s="4"/>
      <c r="C549" s="4"/>
      <c r="D549" s="4"/>
      <c r="E549" s="4"/>
      <c r="F549" s="4"/>
      <c r="G549" s="4"/>
      <c r="H549" s="4"/>
      <c r="I549" s="4"/>
    </row>
    <row r="550" ht="15.75" customHeight="1">
      <c r="A550" s="4"/>
      <c r="B550" s="4"/>
      <c r="C550" s="4"/>
      <c r="D550" s="4"/>
      <c r="E550" s="4"/>
      <c r="F550" s="4"/>
      <c r="G550" s="4"/>
      <c r="H550" s="4"/>
      <c r="I550" s="4"/>
    </row>
    <row r="551" ht="15.75" customHeight="1">
      <c r="A551" s="4"/>
      <c r="B551" s="4"/>
      <c r="C551" s="4"/>
      <c r="D551" s="4"/>
      <c r="E551" s="4"/>
      <c r="F551" s="4"/>
      <c r="G551" s="4"/>
      <c r="H551" s="4"/>
      <c r="I551" s="4"/>
    </row>
    <row r="552" ht="15.75" customHeight="1">
      <c r="A552" s="4"/>
      <c r="B552" s="4"/>
      <c r="C552" s="4"/>
      <c r="D552" s="4"/>
      <c r="E552" s="4"/>
      <c r="F552" s="4"/>
      <c r="G552" s="4"/>
      <c r="H552" s="4"/>
      <c r="I552" s="4"/>
    </row>
    <row r="553" ht="15.75" customHeight="1">
      <c r="A553" s="4"/>
      <c r="B553" s="4"/>
      <c r="C553" s="4"/>
      <c r="D553" s="4"/>
      <c r="E553" s="4"/>
      <c r="F553" s="4"/>
      <c r="G553" s="4"/>
      <c r="H553" s="4"/>
      <c r="I553" s="4"/>
    </row>
    <row r="554" ht="15.75" customHeight="1">
      <c r="A554" s="4"/>
      <c r="B554" s="4"/>
      <c r="C554" s="4"/>
      <c r="D554" s="4"/>
      <c r="E554" s="4"/>
      <c r="F554" s="4"/>
      <c r="G554" s="4"/>
      <c r="H554" s="4"/>
      <c r="I554" s="4"/>
    </row>
    <row r="555" ht="15.75" customHeight="1">
      <c r="A555" s="4"/>
      <c r="B555" s="4"/>
      <c r="C555" s="4"/>
      <c r="D555" s="4"/>
      <c r="E555" s="4"/>
      <c r="F555" s="4"/>
      <c r="G555" s="4"/>
      <c r="H555" s="4"/>
      <c r="I555" s="4"/>
    </row>
    <row r="556" ht="15.75" customHeight="1">
      <c r="A556" s="4"/>
      <c r="B556" s="4"/>
      <c r="C556" s="4"/>
      <c r="D556" s="4"/>
      <c r="E556" s="4"/>
      <c r="F556" s="4"/>
      <c r="G556" s="4"/>
      <c r="H556" s="4"/>
      <c r="I556" s="4"/>
    </row>
    <row r="557" ht="15.75" customHeight="1">
      <c r="A557" s="4"/>
      <c r="B557" s="4"/>
      <c r="C557" s="4"/>
      <c r="D557" s="4"/>
      <c r="E557" s="4"/>
      <c r="F557" s="4"/>
      <c r="G557" s="4"/>
      <c r="H557" s="4"/>
      <c r="I557" s="4"/>
    </row>
    <row r="558" ht="15.75" customHeight="1">
      <c r="A558" s="4"/>
      <c r="B558" s="4"/>
      <c r="C558" s="4"/>
      <c r="D558" s="4"/>
      <c r="E558" s="4"/>
      <c r="F558" s="4"/>
      <c r="G558" s="4"/>
      <c r="H558" s="4"/>
      <c r="I558" s="4"/>
    </row>
    <row r="559" ht="15.75" customHeight="1">
      <c r="A559" s="4"/>
      <c r="B559" s="4"/>
      <c r="C559" s="4"/>
      <c r="D559" s="4"/>
      <c r="E559" s="4"/>
      <c r="F559" s="4"/>
      <c r="G559" s="4"/>
      <c r="H559" s="4"/>
      <c r="I559" s="4"/>
    </row>
    <row r="560" ht="15.75" customHeight="1">
      <c r="A560" s="4"/>
      <c r="B560" s="4"/>
      <c r="C560" s="4"/>
      <c r="D560" s="4"/>
      <c r="E560" s="4"/>
      <c r="F560" s="4"/>
      <c r="G560" s="4"/>
      <c r="H560" s="4"/>
      <c r="I560" s="4"/>
    </row>
    <row r="561" ht="15.75" customHeight="1">
      <c r="A561" s="4"/>
      <c r="B561" s="4"/>
      <c r="C561" s="4"/>
      <c r="D561" s="4"/>
      <c r="E561" s="4"/>
      <c r="F561" s="4"/>
      <c r="G561" s="4"/>
      <c r="H561" s="4"/>
      <c r="I561" s="4"/>
    </row>
    <row r="562" ht="15.75" customHeight="1">
      <c r="A562" s="4"/>
      <c r="B562" s="4"/>
      <c r="C562" s="4"/>
      <c r="D562" s="4"/>
      <c r="E562" s="4"/>
      <c r="F562" s="4"/>
      <c r="G562" s="4"/>
      <c r="H562" s="4"/>
      <c r="I562" s="4"/>
    </row>
    <row r="563" ht="15.75" customHeight="1">
      <c r="A563" s="4"/>
      <c r="B563" s="4"/>
      <c r="C563" s="4"/>
      <c r="D563" s="4"/>
      <c r="E563" s="4"/>
      <c r="F563" s="4"/>
      <c r="G563" s="4"/>
      <c r="H563" s="4"/>
      <c r="I563" s="4"/>
    </row>
    <row r="564" ht="15.75" customHeight="1">
      <c r="A564" s="4"/>
      <c r="B564" s="4"/>
      <c r="C564" s="4"/>
      <c r="D564" s="4"/>
      <c r="E564" s="4"/>
      <c r="F564" s="4"/>
      <c r="G564" s="4"/>
      <c r="H564" s="4"/>
      <c r="I564" s="4"/>
    </row>
    <row r="565" ht="15.75" customHeight="1">
      <c r="A565" s="4"/>
      <c r="B565" s="4"/>
      <c r="C565" s="4"/>
      <c r="D565" s="4"/>
      <c r="E565" s="4"/>
      <c r="F565" s="4"/>
      <c r="G565" s="4"/>
      <c r="H565" s="4"/>
      <c r="I565" s="4"/>
    </row>
    <row r="566" ht="15.75" customHeight="1">
      <c r="A566" s="4"/>
      <c r="B566" s="4"/>
      <c r="C566" s="4"/>
      <c r="D566" s="4"/>
      <c r="E566" s="4"/>
      <c r="F566" s="4"/>
      <c r="G566" s="4"/>
      <c r="H566" s="4"/>
      <c r="I566" s="4"/>
    </row>
    <row r="567" ht="15.75" customHeight="1">
      <c r="A567" s="4"/>
      <c r="B567" s="4"/>
      <c r="C567" s="4"/>
      <c r="D567" s="4"/>
      <c r="E567" s="4"/>
      <c r="F567" s="4"/>
      <c r="G567" s="4"/>
      <c r="H567" s="4"/>
      <c r="I567" s="4"/>
    </row>
    <row r="568" ht="15.75" customHeight="1">
      <c r="A568" s="4"/>
      <c r="B568" s="4"/>
      <c r="C568" s="4"/>
      <c r="D568" s="4"/>
      <c r="E568" s="4"/>
      <c r="F568" s="4"/>
      <c r="G568" s="4"/>
      <c r="H568" s="4"/>
      <c r="I568" s="4"/>
    </row>
    <row r="569" ht="15.75" customHeight="1">
      <c r="A569" s="4"/>
      <c r="B569" s="4"/>
      <c r="C569" s="4"/>
      <c r="D569" s="4"/>
      <c r="E569" s="4"/>
      <c r="F569" s="4"/>
      <c r="G569" s="4"/>
      <c r="H569" s="4"/>
      <c r="I569" s="4"/>
    </row>
    <row r="570" ht="15.75" customHeight="1">
      <c r="A570" s="4"/>
      <c r="B570" s="4"/>
      <c r="C570" s="4"/>
      <c r="D570" s="4"/>
      <c r="E570" s="4"/>
      <c r="F570" s="4"/>
      <c r="G570" s="4"/>
      <c r="H570" s="4"/>
      <c r="I570" s="4"/>
    </row>
    <row r="571" ht="15.75" customHeight="1">
      <c r="A571" s="4"/>
      <c r="B571" s="4"/>
      <c r="C571" s="4"/>
      <c r="D571" s="4"/>
      <c r="E571" s="4"/>
      <c r="F571" s="4"/>
      <c r="G571" s="4"/>
      <c r="H571" s="4"/>
      <c r="I571" s="4"/>
    </row>
    <row r="572" ht="15.75" customHeight="1">
      <c r="A572" s="4"/>
      <c r="B572" s="4"/>
      <c r="C572" s="4"/>
      <c r="D572" s="4"/>
      <c r="E572" s="4"/>
      <c r="F572" s="4"/>
      <c r="G572" s="4"/>
      <c r="H572" s="4"/>
      <c r="I572" s="4"/>
    </row>
    <row r="573" ht="15.75" customHeight="1">
      <c r="A573" s="4"/>
      <c r="B573" s="4"/>
      <c r="C573" s="4"/>
      <c r="D573" s="4"/>
      <c r="E573" s="4"/>
      <c r="F573" s="4"/>
      <c r="G573" s="4"/>
      <c r="H573" s="4"/>
      <c r="I573" s="4"/>
    </row>
    <row r="574" ht="15.75" customHeight="1">
      <c r="A574" s="4"/>
      <c r="B574" s="4"/>
      <c r="C574" s="4"/>
      <c r="D574" s="4"/>
      <c r="E574" s="4"/>
      <c r="F574" s="4"/>
      <c r="G574" s="4"/>
      <c r="H574" s="4"/>
      <c r="I574" s="4"/>
    </row>
    <row r="575" ht="15.75" customHeight="1">
      <c r="A575" s="4"/>
      <c r="B575" s="4"/>
      <c r="C575" s="4"/>
      <c r="D575" s="4"/>
      <c r="E575" s="4"/>
      <c r="F575" s="4"/>
      <c r="G575" s="4"/>
      <c r="H575" s="4"/>
      <c r="I575" s="4"/>
    </row>
    <row r="576" ht="15.75" customHeight="1">
      <c r="A576" s="4"/>
      <c r="B576" s="4"/>
      <c r="C576" s="4"/>
      <c r="D576" s="4"/>
      <c r="E576" s="4"/>
      <c r="F576" s="4"/>
      <c r="G576" s="4"/>
      <c r="H576" s="4"/>
      <c r="I576" s="4"/>
    </row>
    <row r="577" ht="15.75" customHeight="1">
      <c r="A577" s="4"/>
      <c r="B577" s="4"/>
      <c r="C577" s="4"/>
      <c r="D577" s="4"/>
      <c r="E577" s="4"/>
      <c r="F577" s="4"/>
      <c r="G577" s="4"/>
      <c r="H577" s="4"/>
      <c r="I577" s="4"/>
    </row>
    <row r="578" ht="15.75" customHeight="1">
      <c r="A578" s="4"/>
      <c r="B578" s="4"/>
      <c r="C578" s="4"/>
      <c r="D578" s="4"/>
      <c r="E578" s="4"/>
      <c r="F578" s="4"/>
      <c r="G578" s="4"/>
      <c r="H578" s="4"/>
      <c r="I578" s="4"/>
    </row>
    <row r="579" ht="15.75" customHeight="1">
      <c r="A579" s="4"/>
      <c r="B579" s="4"/>
      <c r="C579" s="4"/>
      <c r="D579" s="4"/>
      <c r="E579" s="4"/>
      <c r="F579" s="4"/>
      <c r="G579" s="4"/>
      <c r="H579" s="4"/>
      <c r="I579" s="4"/>
    </row>
    <row r="580" ht="15.75" customHeight="1">
      <c r="A580" s="4"/>
      <c r="B580" s="4"/>
      <c r="C580" s="4"/>
      <c r="D580" s="4"/>
      <c r="E580" s="4"/>
      <c r="F580" s="4"/>
      <c r="G580" s="4"/>
      <c r="H580" s="4"/>
      <c r="I580" s="4"/>
    </row>
    <row r="581" ht="15.75" customHeight="1">
      <c r="A581" s="4"/>
      <c r="B581" s="4"/>
      <c r="C581" s="4"/>
      <c r="D581" s="4"/>
      <c r="E581" s="4"/>
      <c r="F581" s="4"/>
      <c r="G581" s="4"/>
      <c r="H581" s="4"/>
      <c r="I581" s="4"/>
    </row>
    <row r="582" ht="15.75" customHeight="1">
      <c r="A582" s="4"/>
      <c r="B582" s="4"/>
      <c r="C582" s="4"/>
      <c r="D582" s="4"/>
      <c r="E582" s="4"/>
      <c r="F582" s="4"/>
      <c r="G582" s="4"/>
      <c r="H582" s="4"/>
      <c r="I582" s="4"/>
    </row>
    <row r="583" ht="15.75" customHeight="1">
      <c r="A583" s="4"/>
      <c r="B583" s="4"/>
      <c r="C583" s="4"/>
      <c r="D583" s="4"/>
      <c r="E583" s="4"/>
      <c r="F583" s="4"/>
      <c r="G583" s="4"/>
      <c r="H583" s="4"/>
      <c r="I583" s="4"/>
    </row>
    <row r="584" ht="15.75" customHeight="1">
      <c r="A584" s="4"/>
      <c r="B584" s="4"/>
      <c r="C584" s="4"/>
      <c r="D584" s="4"/>
      <c r="E584" s="4"/>
      <c r="F584" s="4"/>
      <c r="G584" s="4"/>
      <c r="H584" s="4"/>
      <c r="I584" s="4"/>
    </row>
    <row r="585" ht="15.75" customHeight="1">
      <c r="A585" s="4"/>
      <c r="B585" s="4"/>
      <c r="C585" s="4"/>
      <c r="D585" s="4"/>
      <c r="E585" s="4"/>
      <c r="F585" s="4"/>
      <c r="G585" s="4"/>
      <c r="H585" s="4"/>
      <c r="I585" s="4"/>
    </row>
    <row r="586" ht="15.75" customHeight="1">
      <c r="A586" s="4"/>
      <c r="B586" s="4"/>
      <c r="C586" s="4"/>
      <c r="D586" s="4"/>
      <c r="E586" s="4"/>
      <c r="F586" s="4"/>
      <c r="G586" s="4"/>
      <c r="H586" s="4"/>
      <c r="I586" s="4"/>
    </row>
    <row r="587" ht="15.75" customHeight="1">
      <c r="A587" s="4"/>
      <c r="B587" s="4"/>
      <c r="C587" s="4"/>
      <c r="D587" s="4"/>
      <c r="E587" s="4"/>
      <c r="F587" s="4"/>
      <c r="G587" s="4"/>
      <c r="H587" s="4"/>
      <c r="I587" s="4"/>
    </row>
    <row r="588" ht="15.75" customHeight="1">
      <c r="A588" s="4"/>
      <c r="B588" s="4"/>
      <c r="C588" s="4"/>
      <c r="D588" s="4"/>
      <c r="E588" s="4"/>
      <c r="F588" s="4"/>
      <c r="G588" s="4"/>
      <c r="H588" s="4"/>
      <c r="I588" s="4"/>
    </row>
    <row r="589" ht="15.75" customHeight="1">
      <c r="A589" s="4"/>
      <c r="B589" s="4"/>
      <c r="C589" s="4"/>
      <c r="D589" s="4"/>
      <c r="E589" s="4"/>
      <c r="F589" s="4"/>
      <c r="G589" s="4"/>
      <c r="H589" s="4"/>
      <c r="I589" s="4"/>
    </row>
    <row r="590" ht="15.75" customHeight="1">
      <c r="A590" s="4"/>
      <c r="B590" s="4"/>
      <c r="C590" s="4"/>
      <c r="D590" s="4"/>
      <c r="E590" s="4"/>
      <c r="F590" s="4"/>
      <c r="G590" s="4"/>
      <c r="H590" s="4"/>
      <c r="I590" s="4"/>
    </row>
    <row r="591" ht="15.75" customHeight="1">
      <c r="A591" s="4"/>
      <c r="B591" s="4"/>
      <c r="C591" s="4"/>
      <c r="D591" s="4"/>
      <c r="E591" s="4"/>
      <c r="F591" s="4"/>
      <c r="G591" s="4"/>
      <c r="H591" s="4"/>
      <c r="I591" s="4"/>
    </row>
    <row r="592" ht="15.75" customHeight="1">
      <c r="A592" s="4"/>
      <c r="B592" s="4"/>
      <c r="C592" s="4"/>
      <c r="D592" s="4"/>
      <c r="E592" s="4"/>
      <c r="F592" s="4"/>
      <c r="G592" s="4"/>
      <c r="H592" s="4"/>
      <c r="I592" s="4"/>
    </row>
    <row r="593" ht="15.75" customHeight="1">
      <c r="A593" s="4"/>
      <c r="B593" s="4"/>
      <c r="C593" s="4"/>
      <c r="D593" s="4"/>
      <c r="E593" s="4"/>
      <c r="F593" s="4"/>
      <c r="G593" s="4"/>
      <c r="H593" s="4"/>
      <c r="I593" s="4"/>
    </row>
    <row r="594" ht="15.75" customHeight="1">
      <c r="A594" s="4"/>
      <c r="B594" s="4"/>
      <c r="C594" s="4"/>
      <c r="D594" s="4"/>
      <c r="E594" s="4"/>
      <c r="F594" s="4"/>
      <c r="G594" s="4"/>
      <c r="H594" s="4"/>
      <c r="I594" s="4"/>
    </row>
    <row r="595" ht="15.75" customHeight="1">
      <c r="A595" s="4"/>
      <c r="B595" s="4"/>
      <c r="C595" s="4"/>
      <c r="D595" s="4"/>
      <c r="E595" s="4"/>
      <c r="F595" s="4"/>
      <c r="G595" s="4"/>
      <c r="H595" s="4"/>
      <c r="I595" s="4"/>
    </row>
    <row r="596" ht="15.75" customHeight="1">
      <c r="A596" s="4"/>
      <c r="B596" s="4"/>
      <c r="C596" s="4"/>
      <c r="D596" s="4"/>
      <c r="E596" s="4"/>
      <c r="F596" s="4"/>
      <c r="G596" s="4"/>
      <c r="H596" s="4"/>
      <c r="I596" s="4"/>
    </row>
    <row r="597" ht="15.75" customHeight="1">
      <c r="A597" s="4"/>
      <c r="B597" s="4"/>
      <c r="C597" s="4"/>
      <c r="D597" s="4"/>
      <c r="E597" s="4"/>
      <c r="F597" s="4"/>
      <c r="G597" s="4"/>
      <c r="H597" s="4"/>
      <c r="I597" s="4"/>
    </row>
    <row r="598" ht="15.75" customHeight="1">
      <c r="A598" s="4"/>
      <c r="B598" s="4"/>
      <c r="C598" s="4"/>
      <c r="D598" s="4"/>
      <c r="E598" s="4"/>
      <c r="F598" s="4"/>
      <c r="G598" s="4"/>
      <c r="H598" s="4"/>
      <c r="I598" s="4"/>
    </row>
    <row r="599" ht="15.75" customHeight="1">
      <c r="A599" s="4"/>
      <c r="B599" s="4"/>
      <c r="C599" s="4"/>
      <c r="D599" s="4"/>
      <c r="E599" s="4"/>
      <c r="F599" s="4"/>
      <c r="G599" s="4"/>
      <c r="H599" s="4"/>
      <c r="I599" s="4"/>
    </row>
    <row r="600" ht="15.75" customHeight="1">
      <c r="A600" s="4"/>
      <c r="B600" s="4"/>
      <c r="C600" s="4"/>
      <c r="D600" s="4"/>
      <c r="E600" s="4"/>
      <c r="F600" s="4"/>
      <c r="G600" s="4"/>
      <c r="H600" s="4"/>
      <c r="I600" s="4"/>
    </row>
    <row r="601" ht="15.75" customHeight="1">
      <c r="A601" s="4"/>
      <c r="B601" s="4"/>
      <c r="C601" s="4"/>
      <c r="D601" s="4"/>
      <c r="E601" s="4"/>
      <c r="F601" s="4"/>
      <c r="G601" s="4"/>
      <c r="H601" s="4"/>
      <c r="I601" s="4"/>
    </row>
    <row r="602" ht="15.75" customHeight="1">
      <c r="A602" s="4"/>
      <c r="B602" s="4"/>
      <c r="C602" s="4"/>
      <c r="D602" s="4"/>
      <c r="E602" s="4"/>
      <c r="F602" s="4"/>
      <c r="G602" s="4"/>
      <c r="H602" s="4"/>
      <c r="I602" s="4"/>
    </row>
    <row r="603" ht="15.75" customHeight="1">
      <c r="A603" s="4"/>
      <c r="B603" s="4"/>
      <c r="C603" s="4"/>
      <c r="D603" s="4"/>
      <c r="E603" s="4"/>
      <c r="F603" s="4"/>
      <c r="G603" s="4"/>
      <c r="H603" s="4"/>
      <c r="I603" s="4"/>
    </row>
    <row r="604" ht="15.75" customHeight="1">
      <c r="A604" s="4"/>
      <c r="B604" s="4"/>
      <c r="C604" s="4"/>
      <c r="D604" s="4"/>
      <c r="E604" s="4"/>
      <c r="F604" s="4"/>
      <c r="G604" s="4"/>
      <c r="H604" s="4"/>
      <c r="I604" s="4"/>
    </row>
    <row r="605" ht="15.75" customHeight="1">
      <c r="A605" s="4"/>
      <c r="B605" s="4"/>
      <c r="C605" s="4"/>
      <c r="D605" s="4"/>
      <c r="E605" s="4"/>
      <c r="F605" s="4"/>
      <c r="G605" s="4"/>
      <c r="H605" s="4"/>
      <c r="I605" s="4"/>
    </row>
    <row r="606" ht="15.75" customHeight="1">
      <c r="A606" s="4"/>
      <c r="B606" s="4"/>
      <c r="C606" s="4"/>
      <c r="D606" s="4"/>
      <c r="E606" s="4"/>
      <c r="F606" s="4"/>
      <c r="G606" s="4"/>
      <c r="H606" s="4"/>
      <c r="I606" s="4"/>
    </row>
    <row r="607" ht="15.75" customHeight="1">
      <c r="A607" s="4"/>
      <c r="B607" s="4"/>
      <c r="C607" s="4"/>
      <c r="D607" s="4"/>
      <c r="E607" s="4"/>
      <c r="F607" s="4"/>
      <c r="G607" s="4"/>
      <c r="H607" s="4"/>
      <c r="I607" s="4"/>
    </row>
    <row r="608" ht="15.75" customHeight="1">
      <c r="A608" s="4"/>
      <c r="B608" s="4"/>
      <c r="C608" s="4"/>
      <c r="D608" s="4"/>
      <c r="E608" s="4"/>
      <c r="F608" s="4"/>
      <c r="G608" s="4"/>
      <c r="H608" s="4"/>
      <c r="I608" s="4"/>
    </row>
    <row r="609" ht="15.75" customHeight="1">
      <c r="A609" s="4"/>
      <c r="B609" s="4"/>
      <c r="C609" s="4"/>
      <c r="D609" s="4"/>
      <c r="E609" s="4"/>
      <c r="F609" s="4"/>
      <c r="G609" s="4"/>
      <c r="H609" s="4"/>
      <c r="I609" s="4"/>
    </row>
    <row r="610" ht="15.75" customHeight="1">
      <c r="A610" s="4"/>
      <c r="B610" s="4"/>
      <c r="C610" s="4"/>
      <c r="D610" s="4"/>
      <c r="E610" s="4"/>
      <c r="F610" s="4"/>
      <c r="G610" s="4"/>
      <c r="H610" s="4"/>
      <c r="I610" s="4"/>
    </row>
    <row r="611" ht="15.75" customHeight="1">
      <c r="A611" s="4"/>
      <c r="B611" s="4"/>
      <c r="C611" s="4"/>
      <c r="D611" s="4"/>
      <c r="E611" s="4"/>
      <c r="F611" s="4"/>
      <c r="G611" s="4"/>
      <c r="H611" s="4"/>
      <c r="I611" s="4"/>
    </row>
    <row r="612" ht="15.75" customHeight="1">
      <c r="A612" s="4"/>
      <c r="B612" s="4"/>
      <c r="C612" s="4"/>
      <c r="D612" s="4"/>
      <c r="E612" s="4"/>
      <c r="F612" s="4"/>
      <c r="G612" s="4"/>
      <c r="H612" s="4"/>
      <c r="I612" s="4"/>
    </row>
    <row r="613" ht="15.75" customHeight="1">
      <c r="A613" s="4"/>
      <c r="B613" s="4"/>
      <c r="C613" s="4"/>
      <c r="D613" s="4"/>
      <c r="E613" s="4"/>
      <c r="F613" s="4"/>
      <c r="G613" s="4"/>
      <c r="H613" s="4"/>
      <c r="I613" s="4"/>
    </row>
    <row r="614" ht="15.75" customHeight="1">
      <c r="A614" s="4"/>
      <c r="B614" s="4"/>
      <c r="C614" s="4"/>
      <c r="D614" s="4"/>
      <c r="E614" s="4"/>
      <c r="F614" s="4"/>
      <c r="G614" s="4"/>
      <c r="H614" s="4"/>
      <c r="I614" s="4"/>
    </row>
    <row r="615" ht="15.75" customHeight="1">
      <c r="A615" s="4"/>
      <c r="B615" s="4"/>
      <c r="C615" s="4"/>
      <c r="D615" s="4"/>
      <c r="E615" s="4"/>
      <c r="F615" s="4"/>
      <c r="G615" s="4"/>
      <c r="H615" s="4"/>
      <c r="I615" s="4"/>
    </row>
    <row r="616" ht="15.75" customHeight="1">
      <c r="A616" s="4"/>
      <c r="B616" s="4"/>
      <c r="C616" s="4"/>
      <c r="D616" s="4"/>
      <c r="E616" s="4"/>
      <c r="F616" s="4"/>
      <c r="G616" s="4"/>
      <c r="H616" s="4"/>
      <c r="I616" s="4"/>
    </row>
    <row r="617" ht="15.75" customHeight="1">
      <c r="A617" s="4"/>
      <c r="B617" s="4"/>
      <c r="C617" s="4"/>
      <c r="D617" s="4"/>
      <c r="E617" s="4"/>
      <c r="F617" s="4"/>
      <c r="G617" s="4"/>
      <c r="H617" s="4"/>
      <c r="I617" s="4"/>
    </row>
    <row r="618" ht="15.75" customHeight="1">
      <c r="A618" s="4"/>
      <c r="B618" s="4"/>
      <c r="C618" s="4"/>
      <c r="D618" s="4"/>
      <c r="E618" s="4"/>
      <c r="F618" s="4"/>
      <c r="G618" s="4"/>
      <c r="H618" s="4"/>
      <c r="I618" s="4"/>
    </row>
    <row r="619" ht="15.75" customHeight="1">
      <c r="A619" s="4"/>
      <c r="B619" s="4"/>
      <c r="C619" s="4"/>
      <c r="D619" s="4"/>
      <c r="E619" s="4"/>
      <c r="F619" s="4"/>
      <c r="G619" s="4"/>
      <c r="H619" s="4"/>
      <c r="I619" s="4"/>
    </row>
    <row r="620" ht="15.75" customHeight="1">
      <c r="A620" s="4"/>
      <c r="B620" s="4"/>
      <c r="C620" s="4"/>
      <c r="D620" s="4"/>
      <c r="E620" s="4"/>
      <c r="F620" s="4"/>
      <c r="G620" s="4"/>
      <c r="H620" s="4"/>
      <c r="I620" s="4"/>
    </row>
    <row r="621" ht="15.75" customHeight="1">
      <c r="A621" s="4"/>
      <c r="B621" s="4"/>
      <c r="C621" s="4"/>
      <c r="D621" s="4"/>
      <c r="E621" s="4"/>
      <c r="F621" s="4"/>
      <c r="G621" s="4"/>
      <c r="H621" s="4"/>
      <c r="I621" s="4"/>
    </row>
    <row r="622" ht="15.75" customHeight="1">
      <c r="A622" s="4"/>
      <c r="B622" s="4"/>
      <c r="C622" s="4"/>
      <c r="D622" s="4"/>
      <c r="E622" s="4"/>
      <c r="F622" s="4"/>
      <c r="G622" s="4"/>
      <c r="H622" s="4"/>
      <c r="I622" s="4"/>
    </row>
    <row r="623" ht="15.75" customHeight="1">
      <c r="A623" s="4"/>
      <c r="B623" s="4"/>
      <c r="C623" s="4"/>
      <c r="D623" s="4"/>
      <c r="E623" s="4"/>
      <c r="F623" s="4"/>
      <c r="G623" s="4"/>
      <c r="H623" s="4"/>
      <c r="I623" s="4"/>
    </row>
    <row r="624" ht="15.75" customHeight="1">
      <c r="A624" s="4"/>
      <c r="B624" s="4"/>
      <c r="C624" s="4"/>
      <c r="D624" s="4"/>
      <c r="E624" s="4"/>
      <c r="F624" s="4"/>
      <c r="G624" s="4"/>
      <c r="H624" s="4"/>
      <c r="I624" s="4"/>
    </row>
    <row r="625" ht="15.75" customHeight="1">
      <c r="A625" s="4"/>
      <c r="B625" s="4"/>
      <c r="C625" s="4"/>
      <c r="D625" s="4"/>
      <c r="E625" s="4"/>
      <c r="F625" s="4"/>
      <c r="G625" s="4"/>
      <c r="H625" s="4"/>
      <c r="I625" s="4"/>
    </row>
    <row r="626" ht="15.75" customHeight="1">
      <c r="A626" s="4"/>
      <c r="B626" s="4"/>
      <c r="C626" s="4"/>
      <c r="D626" s="4"/>
      <c r="E626" s="4"/>
      <c r="F626" s="4"/>
      <c r="G626" s="4"/>
      <c r="H626" s="4"/>
      <c r="I626" s="4"/>
    </row>
    <row r="627" ht="15.75" customHeight="1">
      <c r="A627" s="4"/>
      <c r="B627" s="4"/>
      <c r="C627" s="4"/>
      <c r="D627" s="4"/>
      <c r="E627" s="4"/>
      <c r="F627" s="4"/>
      <c r="G627" s="4"/>
      <c r="H627" s="4"/>
      <c r="I627" s="4"/>
    </row>
    <row r="628" ht="15.75" customHeight="1">
      <c r="A628" s="4"/>
      <c r="B628" s="4"/>
      <c r="C628" s="4"/>
      <c r="D628" s="4"/>
      <c r="E628" s="4"/>
      <c r="F628" s="4"/>
      <c r="G628" s="4"/>
      <c r="H628" s="4"/>
      <c r="I628" s="4"/>
    </row>
    <row r="629" ht="15.75" customHeight="1">
      <c r="A629" s="4"/>
      <c r="B629" s="4"/>
      <c r="C629" s="4"/>
      <c r="D629" s="4"/>
      <c r="E629" s="4"/>
      <c r="F629" s="4"/>
      <c r="G629" s="4"/>
      <c r="H629" s="4"/>
      <c r="I629" s="4"/>
    </row>
    <row r="630" ht="15.75" customHeight="1">
      <c r="A630" s="4"/>
      <c r="B630" s="4"/>
      <c r="C630" s="4"/>
      <c r="D630" s="4"/>
      <c r="E630" s="4"/>
      <c r="F630" s="4"/>
      <c r="G630" s="4"/>
      <c r="H630" s="4"/>
      <c r="I630" s="4"/>
    </row>
    <row r="631" ht="15.75" customHeight="1">
      <c r="A631" s="4"/>
      <c r="B631" s="4"/>
      <c r="C631" s="4"/>
      <c r="D631" s="4"/>
      <c r="E631" s="4"/>
      <c r="F631" s="4"/>
      <c r="G631" s="4"/>
      <c r="H631" s="4"/>
      <c r="I631" s="4"/>
    </row>
    <row r="632" ht="15.75" customHeight="1">
      <c r="A632" s="4"/>
      <c r="B632" s="4"/>
      <c r="C632" s="4"/>
      <c r="D632" s="4"/>
      <c r="E632" s="4"/>
      <c r="F632" s="4"/>
      <c r="G632" s="4"/>
      <c r="H632" s="4"/>
      <c r="I632" s="4"/>
    </row>
    <row r="633" ht="15.75" customHeight="1">
      <c r="A633" s="4"/>
      <c r="B633" s="4"/>
      <c r="C633" s="4"/>
      <c r="D633" s="4"/>
      <c r="E633" s="4"/>
      <c r="F633" s="4"/>
      <c r="G633" s="4"/>
      <c r="H633" s="4"/>
      <c r="I633" s="4"/>
    </row>
    <row r="634" ht="15.75" customHeight="1">
      <c r="A634" s="4"/>
      <c r="B634" s="4"/>
      <c r="C634" s="4"/>
      <c r="D634" s="4"/>
      <c r="E634" s="4"/>
      <c r="F634" s="4"/>
      <c r="G634" s="4"/>
      <c r="H634" s="4"/>
      <c r="I634" s="4"/>
    </row>
    <row r="635" ht="15.75" customHeight="1">
      <c r="A635" s="4"/>
      <c r="B635" s="4"/>
      <c r="C635" s="4"/>
      <c r="D635" s="4"/>
      <c r="E635" s="4"/>
      <c r="F635" s="4"/>
      <c r="G635" s="4"/>
      <c r="H635" s="4"/>
      <c r="I635" s="4"/>
    </row>
    <row r="636" ht="15.75" customHeight="1">
      <c r="A636" s="4"/>
      <c r="B636" s="4"/>
      <c r="C636" s="4"/>
      <c r="D636" s="4"/>
      <c r="E636" s="4"/>
      <c r="F636" s="4"/>
      <c r="G636" s="4"/>
      <c r="H636" s="4"/>
      <c r="I636" s="4"/>
    </row>
    <row r="637" ht="15.75" customHeight="1">
      <c r="A637" s="4"/>
      <c r="B637" s="4"/>
      <c r="C637" s="4"/>
      <c r="D637" s="4"/>
      <c r="E637" s="4"/>
      <c r="F637" s="4"/>
      <c r="G637" s="4"/>
      <c r="H637" s="4"/>
      <c r="I637" s="4"/>
    </row>
    <row r="638" ht="15.75" customHeight="1">
      <c r="A638" s="4"/>
      <c r="B638" s="4"/>
      <c r="C638" s="4"/>
      <c r="D638" s="4"/>
      <c r="E638" s="4"/>
      <c r="F638" s="4"/>
      <c r="G638" s="4"/>
      <c r="H638" s="4"/>
      <c r="I638" s="4"/>
    </row>
    <row r="639" ht="15.75" customHeight="1">
      <c r="A639" s="4"/>
      <c r="B639" s="4"/>
      <c r="C639" s="4"/>
      <c r="D639" s="4"/>
      <c r="E639" s="4"/>
      <c r="F639" s="4"/>
      <c r="G639" s="4"/>
      <c r="H639" s="4"/>
      <c r="I639" s="4"/>
    </row>
    <row r="640" ht="15.75" customHeight="1">
      <c r="A640" s="4"/>
      <c r="B640" s="4"/>
      <c r="C640" s="4"/>
      <c r="D640" s="4"/>
      <c r="E640" s="4"/>
      <c r="F640" s="4"/>
      <c r="G640" s="4"/>
      <c r="H640" s="4"/>
      <c r="I640" s="4"/>
    </row>
    <row r="641" ht="15.75" customHeight="1">
      <c r="A641" s="4"/>
      <c r="B641" s="4"/>
      <c r="C641" s="4"/>
      <c r="D641" s="4"/>
      <c r="E641" s="4"/>
      <c r="F641" s="4"/>
      <c r="G641" s="4"/>
      <c r="H641" s="4"/>
      <c r="I641" s="4"/>
    </row>
    <row r="642" ht="15.75" customHeight="1">
      <c r="A642" s="4"/>
      <c r="B642" s="4"/>
      <c r="C642" s="4"/>
      <c r="D642" s="4"/>
      <c r="E642" s="4"/>
      <c r="F642" s="4"/>
      <c r="G642" s="4"/>
      <c r="H642" s="4"/>
      <c r="I642" s="4"/>
    </row>
    <row r="643" ht="15.75" customHeight="1">
      <c r="A643" s="4"/>
      <c r="B643" s="4"/>
      <c r="C643" s="4"/>
      <c r="D643" s="4"/>
      <c r="E643" s="4"/>
      <c r="F643" s="4"/>
      <c r="G643" s="4"/>
      <c r="H643" s="4"/>
      <c r="I643" s="4"/>
    </row>
    <row r="644" ht="15.75" customHeight="1">
      <c r="A644" s="4"/>
      <c r="B644" s="4"/>
      <c r="C644" s="4"/>
      <c r="D644" s="4"/>
      <c r="E644" s="4"/>
      <c r="F644" s="4"/>
      <c r="G644" s="4"/>
      <c r="H644" s="4"/>
      <c r="I644" s="4"/>
    </row>
    <row r="645" ht="15.75" customHeight="1">
      <c r="A645" s="4"/>
      <c r="B645" s="4"/>
      <c r="C645" s="4"/>
      <c r="D645" s="4"/>
      <c r="E645" s="4"/>
      <c r="F645" s="4"/>
      <c r="G645" s="4"/>
      <c r="H645" s="4"/>
      <c r="I645" s="4"/>
    </row>
    <row r="646" ht="15.75" customHeight="1">
      <c r="A646" s="4"/>
      <c r="B646" s="4"/>
      <c r="C646" s="4"/>
      <c r="D646" s="4"/>
      <c r="E646" s="4"/>
      <c r="F646" s="4"/>
      <c r="G646" s="4"/>
      <c r="H646" s="4"/>
      <c r="I646" s="4"/>
    </row>
    <row r="647" ht="15.75" customHeight="1">
      <c r="A647" s="4"/>
      <c r="B647" s="4"/>
      <c r="C647" s="4"/>
      <c r="D647" s="4"/>
      <c r="E647" s="4"/>
      <c r="F647" s="4"/>
      <c r="G647" s="4"/>
      <c r="H647" s="4"/>
      <c r="I647" s="4"/>
    </row>
    <row r="648" ht="15.75" customHeight="1">
      <c r="A648" s="4"/>
      <c r="B648" s="4"/>
      <c r="C648" s="4"/>
      <c r="D648" s="4"/>
      <c r="E648" s="4"/>
      <c r="F648" s="4"/>
      <c r="G648" s="4"/>
      <c r="H648" s="4"/>
      <c r="I648" s="4"/>
    </row>
    <row r="649" ht="15.75" customHeight="1">
      <c r="A649" s="4"/>
      <c r="B649" s="4"/>
      <c r="C649" s="4"/>
      <c r="D649" s="4"/>
      <c r="E649" s="4"/>
      <c r="F649" s="4"/>
      <c r="G649" s="4"/>
      <c r="H649" s="4"/>
      <c r="I649" s="4"/>
    </row>
    <row r="650" ht="15.75" customHeight="1">
      <c r="A650" s="4"/>
      <c r="B650" s="4"/>
      <c r="C650" s="4"/>
      <c r="D650" s="4"/>
      <c r="E650" s="4"/>
      <c r="F650" s="4"/>
      <c r="G650" s="4"/>
      <c r="H650" s="4"/>
      <c r="I650" s="4"/>
    </row>
    <row r="651" ht="15.75" customHeight="1">
      <c r="A651" s="4"/>
      <c r="B651" s="4"/>
      <c r="C651" s="4"/>
      <c r="D651" s="4"/>
      <c r="E651" s="4"/>
      <c r="F651" s="4"/>
      <c r="G651" s="4"/>
      <c r="H651" s="4"/>
      <c r="I651" s="4"/>
    </row>
    <row r="652" ht="15.75" customHeight="1">
      <c r="A652" s="4"/>
      <c r="B652" s="4"/>
      <c r="C652" s="4"/>
      <c r="D652" s="4"/>
      <c r="E652" s="4"/>
      <c r="F652" s="4"/>
      <c r="G652" s="4"/>
      <c r="H652" s="4"/>
      <c r="I652" s="4"/>
    </row>
    <row r="653" ht="15.75" customHeight="1">
      <c r="A653" s="4"/>
      <c r="B653" s="4"/>
      <c r="C653" s="4"/>
      <c r="D653" s="4"/>
      <c r="E653" s="4"/>
      <c r="F653" s="4"/>
      <c r="G653" s="4"/>
      <c r="H653" s="4"/>
      <c r="I653" s="4"/>
    </row>
    <row r="654" ht="15.75" customHeight="1">
      <c r="A654" s="4"/>
      <c r="B654" s="4"/>
      <c r="C654" s="4"/>
      <c r="D654" s="4"/>
      <c r="E654" s="4"/>
      <c r="F654" s="4"/>
      <c r="G654" s="4"/>
      <c r="H654" s="4"/>
      <c r="I654" s="4"/>
    </row>
    <row r="655" ht="15.75" customHeight="1">
      <c r="A655" s="4"/>
      <c r="B655" s="4"/>
      <c r="C655" s="4"/>
      <c r="D655" s="4"/>
      <c r="E655" s="4"/>
      <c r="F655" s="4"/>
      <c r="G655" s="4"/>
      <c r="H655" s="4"/>
      <c r="I655" s="4"/>
    </row>
    <row r="656" ht="15.75" customHeight="1">
      <c r="A656" s="4"/>
      <c r="B656" s="4"/>
      <c r="C656" s="4"/>
      <c r="D656" s="4"/>
      <c r="E656" s="4"/>
      <c r="F656" s="4"/>
      <c r="G656" s="4"/>
      <c r="H656" s="4"/>
      <c r="I656" s="4"/>
    </row>
    <row r="657" ht="15.75" customHeight="1">
      <c r="A657" s="4"/>
      <c r="B657" s="4"/>
      <c r="C657" s="4"/>
      <c r="D657" s="4"/>
      <c r="E657" s="4"/>
      <c r="F657" s="4"/>
      <c r="G657" s="4"/>
      <c r="H657" s="4"/>
      <c r="I657" s="4"/>
    </row>
    <row r="658" ht="15.75" customHeight="1">
      <c r="A658" s="4"/>
      <c r="B658" s="4"/>
      <c r="C658" s="4"/>
      <c r="D658" s="4"/>
      <c r="E658" s="4"/>
      <c r="F658" s="4"/>
      <c r="G658" s="4"/>
      <c r="H658" s="4"/>
      <c r="I658" s="4"/>
    </row>
    <row r="659" ht="15.75" customHeight="1">
      <c r="A659" s="4"/>
      <c r="B659" s="4"/>
      <c r="C659" s="4"/>
      <c r="D659" s="4"/>
      <c r="E659" s="4"/>
      <c r="F659" s="4"/>
      <c r="G659" s="4"/>
      <c r="H659" s="4"/>
      <c r="I659" s="4"/>
    </row>
    <row r="660" ht="15.75" customHeight="1">
      <c r="A660" s="4"/>
      <c r="B660" s="4"/>
      <c r="C660" s="4"/>
      <c r="D660" s="4"/>
      <c r="E660" s="4"/>
      <c r="F660" s="4"/>
      <c r="G660" s="4"/>
      <c r="H660" s="4"/>
      <c r="I660" s="4"/>
    </row>
    <row r="661" ht="15.75" customHeight="1">
      <c r="A661" s="4"/>
      <c r="B661" s="4"/>
      <c r="C661" s="4"/>
      <c r="D661" s="4"/>
      <c r="E661" s="4"/>
      <c r="F661" s="4"/>
      <c r="G661" s="4"/>
      <c r="H661" s="4"/>
      <c r="I661" s="4"/>
    </row>
    <row r="662" ht="15.75" customHeight="1">
      <c r="A662" s="4"/>
      <c r="B662" s="4"/>
      <c r="C662" s="4"/>
      <c r="D662" s="4"/>
      <c r="E662" s="4"/>
      <c r="F662" s="4"/>
      <c r="G662" s="4"/>
      <c r="H662" s="4"/>
      <c r="I662" s="4"/>
    </row>
    <row r="663" ht="15.75" customHeight="1">
      <c r="A663" s="4"/>
      <c r="B663" s="4"/>
      <c r="C663" s="4"/>
      <c r="D663" s="4"/>
      <c r="E663" s="4"/>
      <c r="F663" s="4"/>
      <c r="G663" s="4"/>
      <c r="H663" s="4"/>
      <c r="I663" s="4"/>
    </row>
    <row r="664" ht="15.75" customHeight="1">
      <c r="A664" s="4"/>
      <c r="B664" s="4"/>
      <c r="C664" s="4"/>
      <c r="D664" s="4"/>
      <c r="E664" s="4"/>
      <c r="F664" s="4"/>
      <c r="G664" s="4"/>
      <c r="H664" s="4"/>
      <c r="I664" s="4"/>
    </row>
    <row r="665" ht="15.75" customHeight="1">
      <c r="A665" s="4"/>
      <c r="B665" s="4"/>
      <c r="C665" s="4"/>
      <c r="D665" s="4"/>
      <c r="E665" s="4"/>
      <c r="F665" s="4"/>
      <c r="G665" s="4"/>
      <c r="H665" s="4"/>
      <c r="I665" s="4"/>
    </row>
    <row r="666" ht="15.75" customHeight="1">
      <c r="A666" s="4"/>
      <c r="B666" s="4"/>
      <c r="C666" s="4"/>
      <c r="D666" s="4"/>
      <c r="E666" s="4"/>
      <c r="F666" s="4"/>
      <c r="G666" s="4"/>
      <c r="H666" s="4"/>
      <c r="I666" s="4"/>
    </row>
    <row r="667" ht="15.75" customHeight="1">
      <c r="A667" s="4"/>
      <c r="B667" s="4"/>
      <c r="C667" s="4"/>
      <c r="D667" s="4"/>
      <c r="E667" s="4"/>
      <c r="F667" s="4"/>
      <c r="G667" s="4"/>
      <c r="H667" s="4"/>
      <c r="I667" s="4"/>
    </row>
    <row r="668" ht="15.75" customHeight="1">
      <c r="A668" s="4"/>
      <c r="B668" s="4"/>
      <c r="C668" s="4"/>
      <c r="D668" s="4"/>
      <c r="E668" s="4"/>
      <c r="F668" s="4"/>
      <c r="G668" s="4"/>
      <c r="H668" s="4"/>
      <c r="I668" s="4"/>
    </row>
    <row r="669" ht="15.75" customHeight="1">
      <c r="A669" s="4"/>
      <c r="B669" s="4"/>
      <c r="C669" s="4"/>
      <c r="D669" s="4"/>
      <c r="E669" s="4"/>
      <c r="F669" s="4"/>
      <c r="G669" s="4"/>
      <c r="H669" s="4"/>
      <c r="I669" s="4"/>
    </row>
    <row r="670" ht="15.75" customHeight="1">
      <c r="A670" s="4"/>
      <c r="B670" s="4"/>
      <c r="C670" s="4"/>
      <c r="D670" s="4"/>
      <c r="E670" s="4"/>
      <c r="F670" s="4"/>
      <c r="G670" s="4"/>
      <c r="H670" s="4"/>
      <c r="I670" s="4"/>
    </row>
    <row r="671" ht="15.75" customHeight="1">
      <c r="A671" s="4"/>
      <c r="B671" s="4"/>
      <c r="C671" s="4"/>
      <c r="D671" s="4"/>
      <c r="E671" s="4"/>
      <c r="F671" s="4"/>
      <c r="G671" s="4"/>
      <c r="H671" s="4"/>
      <c r="I671" s="4"/>
    </row>
    <row r="672" ht="15.75" customHeight="1">
      <c r="A672" s="4"/>
      <c r="B672" s="4"/>
      <c r="C672" s="4"/>
      <c r="D672" s="4"/>
      <c r="E672" s="4"/>
      <c r="F672" s="4"/>
      <c r="G672" s="4"/>
      <c r="H672" s="4"/>
      <c r="I672" s="4"/>
    </row>
    <row r="673" ht="15.75" customHeight="1">
      <c r="A673" s="4"/>
      <c r="B673" s="4"/>
      <c r="C673" s="4"/>
      <c r="D673" s="4"/>
      <c r="E673" s="4"/>
      <c r="F673" s="4"/>
      <c r="G673" s="4"/>
      <c r="H673" s="4"/>
      <c r="I673" s="4"/>
    </row>
    <row r="674" ht="15.75" customHeight="1">
      <c r="A674" s="4"/>
      <c r="B674" s="4"/>
      <c r="C674" s="4"/>
      <c r="D674" s="4"/>
      <c r="E674" s="4"/>
      <c r="F674" s="4"/>
      <c r="G674" s="4"/>
      <c r="H674" s="4"/>
      <c r="I674" s="4"/>
    </row>
    <row r="675" ht="15.75" customHeight="1">
      <c r="A675" s="4"/>
      <c r="B675" s="4"/>
      <c r="C675" s="4"/>
      <c r="D675" s="4"/>
      <c r="E675" s="4"/>
      <c r="F675" s="4"/>
      <c r="G675" s="4"/>
      <c r="H675" s="4"/>
      <c r="I675" s="4"/>
    </row>
    <row r="676" ht="15.75" customHeight="1">
      <c r="A676" s="4"/>
      <c r="B676" s="4"/>
      <c r="C676" s="4"/>
      <c r="D676" s="4"/>
      <c r="E676" s="4"/>
      <c r="F676" s="4"/>
      <c r="G676" s="4"/>
      <c r="H676" s="4"/>
      <c r="I676" s="4"/>
    </row>
    <row r="677" ht="15.75" customHeight="1">
      <c r="A677" s="4"/>
      <c r="B677" s="4"/>
      <c r="C677" s="4"/>
      <c r="D677" s="4"/>
      <c r="E677" s="4"/>
      <c r="F677" s="4"/>
      <c r="G677" s="4"/>
      <c r="H677" s="4"/>
      <c r="I677" s="4"/>
    </row>
    <row r="678" ht="15.75" customHeight="1">
      <c r="A678" s="4"/>
      <c r="B678" s="4"/>
      <c r="C678" s="4"/>
      <c r="D678" s="4"/>
      <c r="E678" s="4"/>
      <c r="F678" s="4"/>
      <c r="G678" s="4"/>
      <c r="H678" s="4"/>
      <c r="I678" s="4"/>
    </row>
    <row r="679" ht="15.75" customHeight="1">
      <c r="A679" s="4"/>
      <c r="B679" s="4"/>
      <c r="C679" s="4"/>
      <c r="D679" s="4"/>
      <c r="E679" s="4"/>
      <c r="F679" s="4"/>
      <c r="G679" s="4"/>
      <c r="H679" s="4"/>
      <c r="I679" s="4"/>
    </row>
    <row r="680" ht="15.75" customHeight="1">
      <c r="A680" s="4"/>
      <c r="B680" s="4"/>
      <c r="C680" s="4"/>
      <c r="D680" s="4"/>
      <c r="E680" s="4"/>
      <c r="F680" s="4"/>
      <c r="G680" s="4"/>
      <c r="H680" s="4"/>
      <c r="I680" s="4"/>
    </row>
    <row r="681" ht="15.75" customHeight="1">
      <c r="A681" s="4"/>
      <c r="B681" s="4"/>
      <c r="C681" s="4"/>
      <c r="D681" s="4"/>
      <c r="E681" s="4"/>
      <c r="F681" s="4"/>
      <c r="G681" s="4"/>
      <c r="H681" s="4"/>
      <c r="I681" s="4"/>
    </row>
    <row r="682" ht="15.75" customHeight="1">
      <c r="A682" s="4"/>
      <c r="B682" s="4"/>
      <c r="C682" s="4"/>
      <c r="D682" s="4"/>
      <c r="E682" s="4"/>
      <c r="F682" s="4"/>
      <c r="G682" s="4"/>
      <c r="H682" s="4"/>
      <c r="I682" s="4"/>
    </row>
    <row r="683" ht="15.75" customHeight="1">
      <c r="A683" s="4"/>
      <c r="B683" s="4"/>
      <c r="C683" s="4"/>
      <c r="D683" s="4"/>
      <c r="E683" s="4"/>
      <c r="F683" s="4"/>
      <c r="G683" s="4"/>
      <c r="H683" s="4"/>
      <c r="I683" s="4"/>
    </row>
    <row r="684" ht="15.75" customHeight="1">
      <c r="A684" s="4"/>
      <c r="B684" s="4"/>
      <c r="C684" s="4"/>
      <c r="D684" s="4"/>
      <c r="E684" s="4"/>
      <c r="F684" s="4"/>
      <c r="G684" s="4"/>
      <c r="H684" s="4"/>
      <c r="I684" s="4"/>
    </row>
    <row r="685" ht="15.75" customHeight="1">
      <c r="A685" s="4"/>
      <c r="B685" s="4"/>
      <c r="C685" s="4"/>
      <c r="D685" s="4"/>
      <c r="E685" s="4"/>
      <c r="F685" s="4"/>
      <c r="G685" s="4"/>
      <c r="H685" s="4"/>
      <c r="I685" s="4"/>
    </row>
    <row r="686" ht="15.75" customHeight="1">
      <c r="A686" s="4"/>
      <c r="B686" s="4"/>
      <c r="C686" s="4"/>
      <c r="D686" s="4"/>
      <c r="E686" s="4"/>
      <c r="F686" s="4"/>
      <c r="G686" s="4"/>
      <c r="H686" s="4"/>
      <c r="I686" s="4"/>
    </row>
    <row r="687" ht="15.75" customHeight="1">
      <c r="A687" s="4"/>
      <c r="B687" s="4"/>
      <c r="C687" s="4"/>
      <c r="D687" s="4"/>
      <c r="E687" s="4"/>
      <c r="F687" s="4"/>
      <c r="G687" s="4"/>
      <c r="H687" s="4"/>
      <c r="I687" s="4"/>
    </row>
    <row r="688" ht="15.75" customHeight="1">
      <c r="A688" s="4"/>
      <c r="B688" s="4"/>
      <c r="C688" s="4"/>
      <c r="D688" s="4"/>
      <c r="E688" s="4"/>
      <c r="F688" s="4"/>
      <c r="G688" s="4"/>
      <c r="H688" s="4"/>
      <c r="I688" s="4"/>
    </row>
    <row r="689" ht="15.75" customHeight="1">
      <c r="A689" s="4"/>
      <c r="B689" s="4"/>
      <c r="C689" s="4"/>
      <c r="D689" s="4"/>
      <c r="E689" s="4"/>
      <c r="F689" s="4"/>
      <c r="G689" s="4"/>
      <c r="H689" s="4"/>
      <c r="I689" s="4"/>
    </row>
    <row r="690" ht="15.75" customHeight="1">
      <c r="A690" s="4"/>
      <c r="B690" s="4"/>
      <c r="C690" s="4"/>
      <c r="D690" s="4"/>
      <c r="E690" s="4"/>
      <c r="F690" s="4"/>
      <c r="G690" s="4"/>
      <c r="H690" s="4"/>
      <c r="I690" s="4"/>
    </row>
    <row r="691" ht="15.75" customHeight="1">
      <c r="A691" s="4"/>
      <c r="B691" s="4"/>
      <c r="C691" s="4"/>
      <c r="D691" s="4"/>
      <c r="E691" s="4"/>
      <c r="F691" s="4"/>
      <c r="G691" s="4"/>
      <c r="H691" s="4"/>
      <c r="I691" s="4"/>
    </row>
    <row r="692" ht="15.75" customHeight="1">
      <c r="A692" s="4"/>
      <c r="B692" s="4"/>
      <c r="C692" s="4"/>
      <c r="D692" s="4"/>
      <c r="E692" s="4"/>
      <c r="F692" s="4"/>
      <c r="G692" s="4"/>
      <c r="H692" s="4"/>
      <c r="I692" s="4"/>
    </row>
    <row r="693" ht="15.75" customHeight="1">
      <c r="A693" s="4"/>
      <c r="B693" s="4"/>
      <c r="C693" s="4"/>
      <c r="D693" s="4"/>
      <c r="E693" s="4"/>
      <c r="F693" s="4"/>
      <c r="G693" s="4"/>
      <c r="H693" s="4"/>
      <c r="I693" s="4"/>
    </row>
    <row r="694" ht="15.75" customHeight="1">
      <c r="A694" s="4"/>
      <c r="B694" s="4"/>
      <c r="C694" s="4"/>
      <c r="D694" s="4"/>
      <c r="E694" s="4"/>
      <c r="F694" s="4"/>
      <c r="G694" s="4"/>
      <c r="H694" s="4"/>
      <c r="I694" s="4"/>
    </row>
    <row r="695" ht="15.75" customHeight="1">
      <c r="A695" s="4"/>
      <c r="B695" s="4"/>
      <c r="C695" s="4"/>
      <c r="D695" s="4"/>
      <c r="E695" s="4"/>
      <c r="F695" s="4"/>
      <c r="G695" s="4"/>
      <c r="H695" s="4"/>
      <c r="I695" s="4"/>
    </row>
    <row r="696" ht="15.75" customHeight="1">
      <c r="A696" s="4"/>
      <c r="B696" s="4"/>
      <c r="C696" s="4"/>
      <c r="D696" s="4"/>
      <c r="E696" s="4"/>
      <c r="F696" s="4"/>
      <c r="G696" s="4"/>
      <c r="H696" s="4"/>
      <c r="I696" s="4"/>
    </row>
    <row r="697" ht="15.75" customHeight="1">
      <c r="A697" s="4"/>
      <c r="B697" s="4"/>
      <c r="C697" s="4"/>
      <c r="D697" s="4"/>
      <c r="E697" s="4"/>
      <c r="F697" s="4"/>
      <c r="G697" s="4"/>
      <c r="H697" s="4"/>
      <c r="I697" s="4"/>
    </row>
    <row r="698" ht="15.75" customHeight="1">
      <c r="A698" s="4"/>
      <c r="B698" s="4"/>
      <c r="C698" s="4"/>
      <c r="D698" s="4"/>
      <c r="E698" s="4"/>
      <c r="F698" s="4"/>
      <c r="G698" s="4"/>
      <c r="H698" s="4"/>
      <c r="I698" s="4"/>
    </row>
    <row r="699" ht="15.75" customHeight="1">
      <c r="A699" s="4"/>
      <c r="B699" s="4"/>
      <c r="C699" s="4"/>
      <c r="D699" s="4"/>
      <c r="E699" s="4"/>
      <c r="F699" s="4"/>
      <c r="G699" s="4"/>
      <c r="H699" s="4"/>
      <c r="I699" s="4"/>
    </row>
    <row r="700" ht="15.75" customHeight="1">
      <c r="A700" s="4"/>
      <c r="B700" s="4"/>
      <c r="C700" s="4"/>
      <c r="D700" s="4"/>
      <c r="E700" s="4"/>
      <c r="F700" s="4"/>
      <c r="G700" s="4"/>
      <c r="H700" s="4"/>
      <c r="I700" s="4"/>
    </row>
    <row r="701" ht="15.75" customHeight="1">
      <c r="A701" s="4"/>
      <c r="B701" s="4"/>
      <c r="C701" s="4"/>
      <c r="D701" s="4"/>
      <c r="E701" s="4"/>
      <c r="F701" s="4"/>
      <c r="G701" s="4"/>
      <c r="H701" s="4"/>
      <c r="I701" s="4"/>
    </row>
    <row r="702" ht="15.75" customHeight="1">
      <c r="A702" s="4"/>
      <c r="B702" s="4"/>
      <c r="C702" s="4"/>
      <c r="D702" s="4"/>
      <c r="E702" s="4"/>
      <c r="F702" s="4"/>
      <c r="G702" s="4"/>
      <c r="H702" s="4"/>
      <c r="I702" s="4"/>
    </row>
    <row r="703" ht="15.75" customHeight="1">
      <c r="A703" s="4"/>
      <c r="B703" s="4"/>
      <c r="C703" s="4"/>
      <c r="D703" s="4"/>
      <c r="E703" s="4"/>
      <c r="F703" s="4"/>
      <c r="G703" s="4"/>
      <c r="H703" s="4"/>
      <c r="I703" s="4"/>
    </row>
    <row r="704" ht="15.75" customHeight="1">
      <c r="A704" s="4"/>
      <c r="B704" s="4"/>
      <c r="C704" s="4"/>
      <c r="D704" s="4"/>
      <c r="E704" s="4"/>
      <c r="F704" s="4"/>
      <c r="G704" s="4"/>
      <c r="H704" s="4"/>
      <c r="I704" s="4"/>
    </row>
    <row r="705" ht="15.75" customHeight="1">
      <c r="A705" s="4"/>
      <c r="B705" s="4"/>
      <c r="C705" s="4"/>
      <c r="D705" s="4"/>
      <c r="E705" s="4"/>
      <c r="F705" s="4"/>
      <c r="G705" s="4"/>
      <c r="H705" s="4"/>
      <c r="I705" s="4"/>
    </row>
    <row r="706" ht="15.75" customHeight="1">
      <c r="A706" s="4"/>
      <c r="B706" s="4"/>
      <c r="C706" s="4"/>
      <c r="D706" s="4"/>
      <c r="E706" s="4"/>
      <c r="F706" s="4"/>
      <c r="G706" s="4"/>
      <c r="H706" s="4"/>
      <c r="I706" s="4"/>
    </row>
    <row r="707" ht="15.75" customHeight="1">
      <c r="A707" s="4"/>
      <c r="B707" s="4"/>
      <c r="C707" s="4"/>
      <c r="D707" s="4"/>
      <c r="E707" s="4"/>
      <c r="F707" s="4"/>
      <c r="G707" s="4"/>
      <c r="H707" s="4"/>
      <c r="I707" s="4"/>
    </row>
    <row r="708" ht="15.75" customHeight="1">
      <c r="A708" s="4"/>
      <c r="B708" s="4"/>
      <c r="C708" s="4"/>
      <c r="D708" s="4"/>
      <c r="E708" s="4"/>
      <c r="F708" s="4"/>
      <c r="G708" s="4"/>
      <c r="H708" s="4"/>
      <c r="I708" s="4"/>
    </row>
    <row r="709" ht="15.75" customHeight="1">
      <c r="A709" s="4"/>
      <c r="B709" s="4"/>
      <c r="C709" s="4"/>
      <c r="D709" s="4"/>
      <c r="E709" s="4"/>
      <c r="F709" s="4"/>
      <c r="G709" s="4"/>
      <c r="H709" s="4"/>
      <c r="I709" s="4"/>
    </row>
    <row r="710" ht="15.75" customHeight="1">
      <c r="A710" s="4"/>
      <c r="B710" s="4"/>
      <c r="C710" s="4"/>
      <c r="D710" s="4"/>
      <c r="E710" s="4"/>
      <c r="F710" s="4"/>
      <c r="G710" s="4"/>
      <c r="H710" s="4"/>
      <c r="I710" s="4"/>
    </row>
    <row r="711" ht="15.75" customHeight="1">
      <c r="A711" s="4"/>
      <c r="B711" s="4"/>
      <c r="C711" s="4"/>
      <c r="D711" s="4"/>
      <c r="E711" s="4"/>
      <c r="F711" s="4"/>
      <c r="G711" s="4"/>
      <c r="H711" s="4"/>
      <c r="I711" s="4"/>
    </row>
    <row r="712" ht="15.75" customHeight="1">
      <c r="A712" s="4"/>
      <c r="B712" s="4"/>
      <c r="C712" s="4"/>
      <c r="D712" s="4"/>
      <c r="E712" s="4"/>
      <c r="F712" s="4"/>
      <c r="G712" s="4"/>
      <c r="H712" s="4"/>
      <c r="I712" s="4"/>
    </row>
    <row r="713" ht="15.75" customHeight="1">
      <c r="A713" s="4"/>
      <c r="B713" s="4"/>
      <c r="C713" s="4"/>
      <c r="D713" s="4"/>
      <c r="E713" s="4"/>
      <c r="F713" s="4"/>
      <c r="G713" s="4"/>
      <c r="H713" s="4"/>
      <c r="I713" s="4"/>
    </row>
    <row r="714" ht="15.75" customHeight="1">
      <c r="A714" s="4"/>
      <c r="B714" s="4"/>
      <c r="C714" s="4"/>
      <c r="D714" s="4"/>
      <c r="E714" s="4"/>
      <c r="F714" s="4"/>
      <c r="G714" s="4"/>
      <c r="H714" s="4"/>
      <c r="I714" s="4"/>
    </row>
    <row r="715" ht="15.75" customHeight="1">
      <c r="A715" s="4"/>
      <c r="B715" s="4"/>
      <c r="C715" s="4"/>
      <c r="D715" s="4"/>
      <c r="E715" s="4"/>
      <c r="F715" s="4"/>
      <c r="G715" s="4"/>
      <c r="H715" s="4"/>
      <c r="I715" s="4"/>
    </row>
    <row r="716" ht="15.75" customHeight="1">
      <c r="A716" s="4"/>
      <c r="B716" s="4"/>
      <c r="C716" s="4"/>
      <c r="D716" s="4"/>
      <c r="E716" s="4"/>
      <c r="F716" s="4"/>
      <c r="G716" s="4"/>
      <c r="H716" s="4"/>
      <c r="I716" s="4"/>
    </row>
    <row r="717" ht="15.75" customHeight="1">
      <c r="A717" s="4"/>
      <c r="B717" s="4"/>
      <c r="C717" s="4"/>
      <c r="D717" s="4"/>
      <c r="E717" s="4"/>
      <c r="F717" s="4"/>
      <c r="G717" s="4"/>
      <c r="H717" s="4"/>
      <c r="I717" s="4"/>
    </row>
    <row r="718" ht="15.75" customHeight="1">
      <c r="A718" s="4"/>
      <c r="B718" s="4"/>
      <c r="C718" s="4"/>
      <c r="D718" s="4"/>
      <c r="E718" s="4"/>
      <c r="F718" s="4"/>
      <c r="G718" s="4"/>
      <c r="H718" s="4"/>
      <c r="I718" s="4"/>
    </row>
    <row r="719" ht="15.75" customHeight="1">
      <c r="A719" s="4"/>
      <c r="B719" s="4"/>
      <c r="C719" s="4"/>
      <c r="D719" s="4"/>
      <c r="E719" s="4"/>
      <c r="F719" s="4"/>
      <c r="G719" s="4"/>
      <c r="H719" s="4"/>
      <c r="I719" s="4"/>
    </row>
    <row r="720" ht="15.75" customHeight="1">
      <c r="A720" s="4"/>
      <c r="B720" s="4"/>
      <c r="C720" s="4"/>
      <c r="D720" s="4"/>
      <c r="E720" s="4"/>
      <c r="F720" s="4"/>
      <c r="G720" s="4"/>
      <c r="H720" s="4"/>
      <c r="I720" s="4"/>
    </row>
    <row r="721" ht="15.75" customHeight="1">
      <c r="A721" s="4"/>
      <c r="B721" s="4"/>
      <c r="C721" s="4"/>
      <c r="D721" s="4"/>
      <c r="E721" s="4"/>
      <c r="F721" s="4"/>
      <c r="G721" s="4"/>
      <c r="H721" s="4"/>
      <c r="I721" s="4"/>
    </row>
    <row r="722" ht="15.75" customHeight="1">
      <c r="A722" s="4"/>
      <c r="B722" s="4"/>
      <c r="C722" s="4"/>
      <c r="D722" s="4"/>
      <c r="E722" s="4"/>
      <c r="F722" s="4"/>
      <c r="G722" s="4"/>
      <c r="H722" s="4"/>
      <c r="I722" s="4"/>
    </row>
    <row r="723" ht="15.75" customHeight="1">
      <c r="A723" s="4"/>
      <c r="B723" s="4"/>
      <c r="C723" s="4"/>
      <c r="D723" s="4"/>
      <c r="E723" s="4"/>
      <c r="F723" s="4"/>
      <c r="G723" s="4"/>
      <c r="H723" s="4"/>
      <c r="I723" s="4"/>
    </row>
    <row r="724" ht="15.75" customHeight="1">
      <c r="A724" s="4"/>
      <c r="B724" s="4"/>
      <c r="C724" s="4"/>
      <c r="D724" s="4"/>
      <c r="E724" s="4"/>
      <c r="F724" s="4"/>
      <c r="G724" s="4"/>
      <c r="H724" s="4"/>
      <c r="I724" s="4"/>
    </row>
    <row r="725" ht="15.75" customHeight="1">
      <c r="A725" s="4"/>
      <c r="B725" s="4"/>
      <c r="C725" s="4"/>
      <c r="D725" s="4"/>
      <c r="E725" s="4"/>
      <c r="F725" s="4"/>
      <c r="G725" s="4"/>
      <c r="H725" s="4"/>
      <c r="I725" s="4"/>
    </row>
    <row r="726" ht="15.75" customHeight="1">
      <c r="A726" s="4"/>
      <c r="B726" s="4"/>
      <c r="C726" s="4"/>
      <c r="D726" s="4"/>
      <c r="E726" s="4"/>
      <c r="F726" s="4"/>
      <c r="G726" s="4"/>
      <c r="H726" s="4"/>
      <c r="I726" s="4"/>
    </row>
    <row r="727" ht="15.75" customHeight="1">
      <c r="A727" s="4"/>
      <c r="B727" s="4"/>
      <c r="C727" s="4"/>
      <c r="D727" s="4"/>
      <c r="E727" s="4"/>
      <c r="F727" s="4"/>
      <c r="G727" s="4"/>
      <c r="H727" s="4"/>
      <c r="I727" s="4"/>
    </row>
    <row r="728" ht="15.75" customHeight="1">
      <c r="A728" s="4"/>
      <c r="B728" s="4"/>
      <c r="C728" s="4"/>
      <c r="D728" s="4"/>
      <c r="E728" s="4"/>
      <c r="F728" s="4"/>
      <c r="G728" s="4"/>
      <c r="H728" s="4"/>
      <c r="I728" s="4"/>
    </row>
    <row r="729" ht="15.75" customHeight="1">
      <c r="A729" s="4"/>
      <c r="B729" s="4"/>
      <c r="C729" s="4"/>
      <c r="D729" s="4"/>
      <c r="E729" s="4"/>
      <c r="F729" s="4"/>
      <c r="G729" s="4"/>
      <c r="H729" s="4"/>
      <c r="I729" s="4"/>
    </row>
    <row r="730" ht="15.75" customHeight="1">
      <c r="A730" s="4"/>
      <c r="B730" s="4"/>
      <c r="C730" s="4"/>
      <c r="D730" s="4"/>
      <c r="E730" s="4"/>
      <c r="F730" s="4"/>
      <c r="G730" s="4"/>
      <c r="H730" s="4"/>
      <c r="I730" s="4"/>
    </row>
    <row r="731" ht="15.75" customHeight="1">
      <c r="A731" s="4"/>
      <c r="B731" s="4"/>
      <c r="C731" s="4"/>
      <c r="D731" s="4"/>
      <c r="E731" s="4"/>
      <c r="F731" s="4"/>
      <c r="G731" s="4"/>
      <c r="H731" s="4"/>
      <c r="I731" s="4"/>
    </row>
    <row r="732" ht="15.75" customHeight="1">
      <c r="A732" s="4"/>
      <c r="B732" s="4"/>
      <c r="C732" s="4"/>
      <c r="D732" s="4"/>
      <c r="E732" s="4"/>
      <c r="F732" s="4"/>
      <c r="G732" s="4"/>
      <c r="H732" s="4"/>
      <c r="I732" s="4"/>
    </row>
    <row r="733" ht="15.75" customHeight="1">
      <c r="A733" s="4"/>
      <c r="B733" s="4"/>
      <c r="C733" s="4"/>
      <c r="D733" s="4"/>
      <c r="E733" s="4"/>
      <c r="F733" s="4"/>
      <c r="G733" s="4"/>
      <c r="H733" s="4"/>
      <c r="I733" s="4"/>
    </row>
    <row r="734" ht="15.75" customHeight="1">
      <c r="A734" s="4"/>
      <c r="B734" s="4"/>
      <c r="C734" s="4"/>
      <c r="D734" s="4"/>
      <c r="E734" s="4"/>
      <c r="F734" s="4"/>
      <c r="G734" s="4"/>
      <c r="H734" s="4"/>
      <c r="I734" s="4"/>
    </row>
    <row r="735" ht="15.75" customHeight="1">
      <c r="A735" s="4"/>
      <c r="B735" s="4"/>
      <c r="C735" s="4"/>
      <c r="D735" s="4"/>
      <c r="E735" s="4"/>
      <c r="F735" s="4"/>
      <c r="G735" s="4"/>
      <c r="H735" s="4"/>
      <c r="I735" s="4"/>
    </row>
    <row r="736" ht="15.75" customHeight="1">
      <c r="A736" s="4"/>
      <c r="B736" s="4"/>
      <c r="C736" s="4"/>
      <c r="D736" s="4"/>
      <c r="E736" s="4"/>
      <c r="F736" s="4"/>
      <c r="G736" s="4"/>
      <c r="H736" s="4"/>
      <c r="I736" s="4"/>
    </row>
    <row r="737" ht="15.75" customHeight="1">
      <c r="A737" s="4"/>
      <c r="B737" s="4"/>
      <c r="C737" s="4"/>
      <c r="D737" s="4"/>
      <c r="E737" s="4"/>
      <c r="F737" s="4"/>
      <c r="G737" s="4"/>
      <c r="H737" s="4"/>
      <c r="I737" s="4"/>
    </row>
    <row r="738" ht="15.75" customHeight="1">
      <c r="A738" s="4"/>
      <c r="B738" s="4"/>
      <c r="C738" s="4"/>
      <c r="D738" s="4"/>
      <c r="E738" s="4"/>
      <c r="F738" s="4"/>
      <c r="G738" s="4"/>
      <c r="H738" s="4"/>
      <c r="I738" s="4"/>
    </row>
    <row r="739" ht="15.75" customHeight="1">
      <c r="A739" s="4"/>
      <c r="B739" s="4"/>
      <c r="C739" s="4"/>
      <c r="D739" s="4"/>
      <c r="E739" s="4"/>
      <c r="F739" s="4"/>
      <c r="G739" s="4"/>
      <c r="H739" s="4"/>
      <c r="I739" s="4"/>
    </row>
    <row r="740" ht="15.75" customHeight="1">
      <c r="A740" s="4"/>
      <c r="B740" s="4"/>
      <c r="C740" s="4"/>
      <c r="D740" s="4"/>
      <c r="E740" s="4"/>
      <c r="F740" s="4"/>
      <c r="G740" s="4"/>
      <c r="H740" s="4"/>
      <c r="I740" s="4"/>
    </row>
    <row r="741" ht="15.75" customHeight="1">
      <c r="A741" s="4"/>
      <c r="B741" s="4"/>
      <c r="C741" s="4"/>
      <c r="D741" s="4"/>
      <c r="E741" s="4"/>
      <c r="F741" s="4"/>
      <c r="G741" s="4"/>
      <c r="H741" s="4"/>
      <c r="I741" s="4"/>
    </row>
    <row r="742" ht="15.75" customHeight="1">
      <c r="A742" s="4"/>
      <c r="B742" s="4"/>
      <c r="C742" s="4"/>
      <c r="D742" s="4"/>
      <c r="E742" s="4"/>
      <c r="F742" s="4"/>
      <c r="G742" s="4"/>
      <c r="H742" s="4"/>
      <c r="I742" s="4"/>
    </row>
    <row r="743" ht="15.75" customHeight="1">
      <c r="A743" s="4"/>
      <c r="B743" s="4"/>
      <c r="C743" s="4"/>
      <c r="D743" s="4"/>
      <c r="E743" s="4"/>
      <c r="F743" s="4"/>
      <c r="G743" s="4"/>
      <c r="H743" s="4"/>
      <c r="I743" s="4"/>
    </row>
    <row r="744" ht="15.75" customHeight="1">
      <c r="A744" s="4"/>
      <c r="B744" s="4"/>
      <c r="C744" s="4"/>
      <c r="D744" s="4"/>
      <c r="E744" s="4"/>
      <c r="F744" s="4"/>
      <c r="G744" s="4"/>
      <c r="H744" s="4"/>
      <c r="I744" s="4"/>
    </row>
    <row r="745" ht="15.75" customHeight="1">
      <c r="A745" s="4"/>
      <c r="B745" s="4"/>
      <c r="C745" s="4"/>
      <c r="D745" s="4"/>
      <c r="E745" s="4"/>
      <c r="F745" s="4"/>
      <c r="G745" s="4"/>
      <c r="H745" s="4"/>
      <c r="I745" s="4"/>
    </row>
    <row r="746" ht="15.75" customHeight="1">
      <c r="A746" s="4"/>
      <c r="B746" s="4"/>
      <c r="C746" s="4"/>
      <c r="D746" s="4"/>
      <c r="E746" s="4"/>
      <c r="F746" s="4"/>
      <c r="G746" s="4"/>
      <c r="H746" s="4"/>
      <c r="I746" s="4"/>
    </row>
    <row r="747" ht="15.75" customHeight="1">
      <c r="A747" s="4"/>
      <c r="B747" s="4"/>
      <c r="C747" s="4"/>
      <c r="D747" s="4"/>
      <c r="E747" s="4"/>
      <c r="F747" s="4"/>
      <c r="G747" s="4"/>
      <c r="H747" s="4"/>
      <c r="I747" s="4"/>
    </row>
    <row r="748" ht="15.75" customHeight="1">
      <c r="A748" s="4"/>
      <c r="B748" s="4"/>
      <c r="C748" s="4"/>
      <c r="D748" s="4"/>
      <c r="E748" s="4"/>
      <c r="F748" s="4"/>
      <c r="G748" s="4"/>
      <c r="H748" s="4"/>
      <c r="I748" s="4"/>
    </row>
    <row r="749" ht="15.75" customHeight="1">
      <c r="A749" s="4"/>
      <c r="B749" s="4"/>
      <c r="C749" s="4"/>
      <c r="D749" s="4"/>
      <c r="E749" s="4"/>
      <c r="F749" s="4"/>
      <c r="G749" s="4"/>
      <c r="H749" s="4"/>
      <c r="I749" s="4"/>
    </row>
    <row r="750" ht="15.75" customHeight="1">
      <c r="A750" s="4"/>
      <c r="B750" s="4"/>
      <c r="C750" s="4"/>
      <c r="D750" s="4"/>
      <c r="E750" s="4"/>
      <c r="F750" s="4"/>
      <c r="G750" s="4"/>
      <c r="H750" s="4"/>
      <c r="I750" s="4"/>
    </row>
    <row r="751" ht="15.75" customHeight="1">
      <c r="A751" s="4"/>
      <c r="B751" s="4"/>
      <c r="C751" s="4"/>
      <c r="D751" s="4"/>
      <c r="E751" s="4"/>
      <c r="F751" s="4"/>
      <c r="G751" s="4"/>
      <c r="H751" s="4"/>
      <c r="I751" s="4"/>
    </row>
    <row r="752" ht="15.75" customHeight="1">
      <c r="A752" s="4"/>
      <c r="B752" s="4"/>
      <c r="C752" s="4"/>
      <c r="D752" s="4"/>
      <c r="E752" s="4"/>
      <c r="F752" s="4"/>
      <c r="G752" s="4"/>
      <c r="H752" s="4"/>
      <c r="I752" s="4"/>
    </row>
    <row r="753" ht="15.75" customHeight="1">
      <c r="A753" s="4"/>
      <c r="B753" s="4"/>
      <c r="C753" s="4"/>
      <c r="D753" s="4"/>
      <c r="E753" s="4"/>
      <c r="F753" s="4"/>
      <c r="G753" s="4"/>
      <c r="H753" s="4"/>
      <c r="I753" s="4"/>
    </row>
    <row r="754" ht="15.75" customHeight="1">
      <c r="A754" s="4"/>
      <c r="B754" s="4"/>
      <c r="C754" s="4"/>
      <c r="D754" s="4"/>
      <c r="E754" s="4"/>
      <c r="F754" s="4"/>
      <c r="G754" s="4"/>
      <c r="H754" s="4"/>
      <c r="I754" s="4"/>
    </row>
    <row r="755" ht="15.75" customHeight="1">
      <c r="A755" s="4"/>
      <c r="B755" s="4"/>
      <c r="C755" s="4"/>
      <c r="D755" s="4"/>
      <c r="E755" s="4"/>
      <c r="F755" s="4"/>
      <c r="G755" s="4"/>
      <c r="H755" s="4"/>
      <c r="I755" s="4"/>
    </row>
    <row r="756" ht="15.75" customHeight="1">
      <c r="A756" s="4"/>
      <c r="B756" s="4"/>
      <c r="C756" s="4"/>
      <c r="D756" s="4"/>
      <c r="E756" s="4"/>
      <c r="F756" s="4"/>
      <c r="G756" s="4"/>
      <c r="H756" s="4"/>
      <c r="I756" s="4"/>
    </row>
    <row r="757" ht="15.75" customHeight="1">
      <c r="A757" s="4"/>
      <c r="B757" s="4"/>
      <c r="C757" s="4"/>
      <c r="D757" s="4"/>
      <c r="E757" s="4"/>
      <c r="F757" s="4"/>
      <c r="G757" s="4"/>
      <c r="H757" s="4"/>
      <c r="I757" s="4"/>
    </row>
    <row r="758" ht="15.75" customHeight="1">
      <c r="A758" s="4"/>
      <c r="B758" s="4"/>
      <c r="C758" s="4"/>
      <c r="D758" s="4"/>
      <c r="E758" s="4"/>
      <c r="F758" s="4"/>
      <c r="G758" s="4"/>
      <c r="H758" s="4"/>
      <c r="I758" s="4"/>
    </row>
    <row r="759" ht="15.75" customHeight="1">
      <c r="A759" s="4"/>
      <c r="B759" s="4"/>
      <c r="C759" s="4"/>
      <c r="D759" s="4"/>
      <c r="E759" s="4"/>
      <c r="F759" s="4"/>
      <c r="G759" s="4"/>
      <c r="H759" s="4"/>
      <c r="I759" s="4"/>
    </row>
    <row r="760" ht="15.75" customHeight="1">
      <c r="A760" s="4"/>
      <c r="B760" s="4"/>
      <c r="C760" s="4"/>
      <c r="D760" s="4"/>
      <c r="E760" s="4"/>
      <c r="F760" s="4"/>
      <c r="G760" s="4"/>
      <c r="H760" s="4"/>
      <c r="I760" s="4"/>
    </row>
    <row r="761" ht="15.75" customHeight="1">
      <c r="A761" s="4"/>
      <c r="B761" s="4"/>
      <c r="C761" s="4"/>
      <c r="D761" s="4"/>
      <c r="E761" s="4"/>
      <c r="F761" s="4"/>
      <c r="G761" s="4"/>
      <c r="H761" s="4"/>
      <c r="I761" s="4"/>
    </row>
    <row r="762" ht="15.75" customHeight="1">
      <c r="A762" s="4"/>
      <c r="B762" s="4"/>
      <c r="C762" s="4"/>
      <c r="D762" s="4"/>
      <c r="E762" s="4"/>
      <c r="F762" s="4"/>
      <c r="G762" s="4"/>
      <c r="H762" s="4"/>
      <c r="I762" s="4"/>
    </row>
    <row r="763" ht="15.75" customHeight="1">
      <c r="A763" s="4"/>
      <c r="B763" s="4"/>
      <c r="C763" s="4"/>
      <c r="D763" s="4"/>
      <c r="E763" s="4"/>
      <c r="F763" s="4"/>
      <c r="G763" s="4"/>
      <c r="H763" s="4"/>
      <c r="I763" s="4"/>
    </row>
    <row r="764" ht="15.75" customHeight="1">
      <c r="A764" s="4"/>
      <c r="B764" s="4"/>
      <c r="C764" s="4"/>
      <c r="D764" s="4"/>
      <c r="E764" s="4"/>
      <c r="F764" s="4"/>
      <c r="G764" s="4"/>
      <c r="H764" s="4"/>
      <c r="I764" s="4"/>
    </row>
    <row r="765" ht="15.75" customHeight="1">
      <c r="A765" s="4"/>
      <c r="B765" s="4"/>
      <c r="C765" s="4"/>
      <c r="D765" s="4"/>
      <c r="E765" s="4"/>
      <c r="F765" s="4"/>
      <c r="G765" s="4"/>
      <c r="H765" s="4"/>
      <c r="I765" s="4"/>
    </row>
    <row r="766" ht="15.75" customHeight="1">
      <c r="A766" s="4"/>
      <c r="B766" s="4"/>
      <c r="C766" s="4"/>
      <c r="D766" s="4"/>
      <c r="E766" s="4"/>
      <c r="F766" s="4"/>
      <c r="G766" s="4"/>
      <c r="H766" s="4"/>
      <c r="I766" s="4"/>
    </row>
    <row r="767" ht="15.75" customHeight="1">
      <c r="A767" s="4"/>
      <c r="B767" s="4"/>
      <c r="C767" s="4"/>
      <c r="D767" s="4"/>
      <c r="E767" s="4"/>
      <c r="F767" s="4"/>
      <c r="G767" s="4"/>
      <c r="H767" s="4"/>
      <c r="I767" s="4"/>
    </row>
    <row r="768" ht="15.75" customHeight="1">
      <c r="A768" s="4"/>
      <c r="B768" s="4"/>
      <c r="C768" s="4"/>
      <c r="D768" s="4"/>
      <c r="E768" s="4"/>
      <c r="F768" s="4"/>
      <c r="G768" s="4"/>
      <c r="H768" s="4"/>
      <c r="I768" s="4"/>
    </row>
    <row r="769" ht="15.75" customHeight="1">
      <c r="A769" s="4"/>
      <c r="B769" s="4"/>
      <c r="C769" s="4"/>
      <c r="D769" s="4"/>
      <c r="E769" s="4"/>
      <c r="F769" s="4"/>
      <c r="G769" s="4"/>
      <c r="H769" s="4"/>
      <c r="I769" s="4"/>
    </row>
    <row r="770" ht="15.75" customHeight="1">
      <c r="A770" s="4"/>
      <c r="B770" s="4"/>
      <c r="C770" s="4"/>
      <c r="D770" s="4"/>
      <c r="E770" s="4"/>
      <c r="F770" s="4"/>
      <c r="G770" s="4"/>
      <c r="H770" s="4"/>
      <c r="I770" s="4"/>
    </row>
    <row r="771" ht="15.75" customHeight="1">
      <c r="A771" s="4"/>
      <c r="B771" s="4"/>
      <c r="C771" s="4"/>
      <c r="D771" s="4"/>
      <c r="E771" s="4"/>
      <c r="F771" s="4"/>
      <c r="G771" s="4"/>
      <c r="H771" s="4"/>
      <c r="I771" s="4"/>
    </row>
    <row r="772" ht="15.75" customHeight="1">
      <c r="A772" s="4"/>
      <c r="B772" s="4"/>
      <c r="C772" s="4"/>
      <c r="D772" s="4"/>
      <c r="E772" s="4"/>
      <c r="F772" s="4"/>
      <c r="G772" s="4"/>
      <c r="H772" s="4"/>
      <c r="I772" s="4"/>
    </row>
    <row r="773" ht="15.75" customHeight="1">
      <c r="A773" s="4"/>
      <c r="B773" s="4"/>
      <c r="C773" s="4"/>
      <c r="D773" s="4"/>
      <c r="E773" s="4"/>
      <c r="F773" s="4"/>
      <c r="G773" s="4"/>
      <c r="H773" s="4"/>
      <c r="I773" s="4"/>
    </row>
    <row r="774" ht="15.75" customHeight="1">
      <c r="A774" s="4"/>
      <c r="B774" s="4"/>
      <c r="C774" s="4"/>
      <c r="D774" s="4"/>
      <c r="E774" s="4"/>
      <c r="F774" s="4"/>
      <c r="G774" s="4"/>
      <c r="H774" s="4"/>
      <c r="I774" s="4"/>
    </row>
    <row r="775" ht="15.75" customHeight="1">
      <c r="A775" s="4"/>
      <c r="B775" s="4"/>
      <c r="C775" s="4"/>
      <c r="D775" s="4"/>
      <c r="E775" s="4"/>
      <c r="F775" s="4"/>
      <c r="G775" s="4"/>
      <c r="H775" s="4"/>
      <c r="I775" s="4"/>
    </row>
    <row r="776" ht="15.75" customHeight="1">
      <c r="A776" s="4"/>
      <c r="B776" s="4"/>
      <c r="C776" s="4"/>
      <c r="D776" s="4"/>
      <c r="E776" s="4"/>
      <c r="F776" s="4"/>
      <c r="G776" s="4"/>
      <c r="H776" s="4"/>
      <c r="I776" s="4"/>
    </row>
    <row r="777" ht="15.75" customHeight="1">
      <c r="A777" s="4"/>
      <c r="B777" s="4"/>
      <c r="C777" s="4"/>
      <c r="D777" s="4"/>
      <c r="E777" s="4"/>
      <c r="F777" s="4"/>
      <c r="G777" s="4"/>
      <c r="H777" s="4"/>
      <c r="I777" s="4"/>
    </row>
    <row r="778" ht="15.75" customHeight="1">
      <c r="A778" s="4"/>
      <c r="B778" s="4"/>
      <c r="C778" s="4"/>
      <c r="D778" s="4"/>
      <c r="E778" s="4"/>
      <c r="F778" s="4"/>
      <c r="G778" s="4"/>
      <c r="H778" s="4"/>
      <c r="I778" s="4"/>
    </row>
    <row r="779" ht="15.75" customHeight="1">
      <c r="A779" s="4"/>
      <c r="B779" s="4"/>
      <c r="C779" s="4"/>
      <c r="D779" s="4"/>
      <c r="E779" s="4"/>
      <c r="F779" s="4"/>
      <c r="G779" s="4"/>
      <c r="H779" s="4"/>
      <c r="I779" s="4"/>
    </row>
    <row r="780" ht="15.75" customHeight="1">
      <c r="A780" s="4"/>
      <c r="B780" s="4"/>
      <c r="C780" s="4"/>
      <c r="D780" s="4"/>
      <c r="E780" s="4"/>
      <c r="F780" s="4"/>
      <c r="G780" s="4"/>
      <c r="H780" s="4"/>
      <c r="I780" s="4"/>
    </row>
    <row r="781" ht="15.75" customHeight="1">
      <c r="A781" s="4"/>
      <c r="B781" s="4"/>
      <c r="C781" s="4"/>
      <c r="D781" s="4"/>
      <c r="E781" s="4"/>
      <c r="F781" s="4"/>
      <c r="G781" s="4"/>
      <c r="H781" s="4"/>
      <c r="I781" s="4"/>
    </row>
    <row r="782" ht="15.75" customHeight="1">
      <c r="A782" s="4"/>
      <c r="B782" s="4"/>
      <c r="C782" s="4"/>
      <c r="D782" s="4"/>
      <c r="E782" s="4"/>
      <c r="F782" s="4"/>
      <c r="G782" s="4"/>
      <c r="H782" s="4"/>
      <c r="I782" s="4"/>
    </row>
    <row r="783" ht="15.75" customHeight="1">
      <c r="A783" s="4"/>
      <c r="B783" s="4"/>
      <c r="C783" s="4"/>
      <c r="D783" s="4"/>
      <c r="E783" s="4"/>
      <c r="F783" s="4"/>
      <c r="G783" s="4"/>
      <c r="H783" s="4"/>
      <c r="I783" s="4"/>
    </row>
    <row r="784" ht="15.75" customHeight="1">
      <c r="A784" s="4"/>
      <c r="B784" s="4"/>
      <c r="C784" s="4"/>
      <c r="D784" s="4"/>
      <c r="E784" s="4"/>
      <c r="F784" s="4"/>
      <c r="G784" s="4"/>
      <c r="H784" s="4"/>
      <c r="I784" s="4"/>
    </row>
    <row r="785" ht="15.75" customHeight="1">
      <c r="A785" s="4"/>
      <c r="B785" s="4"/>
      <c r="C785" s="4"/>
      <c r="D785" s="4"/>
      <c r="E785" s="4"/>
      <c r="F785" s="4"/>
      <c r="G785" s="4"/>
      <c r="H785" s="4"/>
      <c r="I785" s="4"/>
    </row>
    <row r="786" ht="15.75" customHeight="1">
      <c r="A786" s="4"/>
      <c r="B786" s="4"/>
      <c r="C786" s="4"/>
      <c r="D786" s="4"/>
      <c r="E786" s="4"/>
      <c r="F786" s="4"/>
      <c r="G786" s="4"/>
      <c r="H786" s="4"/>
      <c r="I786" s="4"/>
    </row>
    <row r="787" ht="15.75" customHeight="1">
      <c r="A787" s="4"/>
      <c r="B787" s="4"/>
      <c r="C787" s="4"/>
      <c r="D787" s="4"/>
      <c r="E787" s="4"/>
      <c r="F787" s="4"/>
      <c r="G787" s="4"/>
      <c r="H787" s="4"/>
      <c r="I787" s="4"/>
    </row>
    <row r="788" ht="15.75" customHeight="1">
      <c r="A788" s="4"/>
      <c r="B788" s="4"/>
      <c r="C788" s="4"/>
      <c r="D788" s="4"/>
      <c r="E788" s="4"/>
      <c r="F788" s="4"/>
      <c r="G788" s="4"/>
      <c r="H788" s="4"/>
      <c r="I788" s="4"/>
    </row>
    <row r="789" ht="15.75" customHeight="1">
      <c r="A789" s="4"/>
      <c r="B789" s="4"/>
      <c r="C789" s="4"/>
      <c r="D789" s="4"/>
      <c r="E789" s="4"/>
      <c r="F789" s="4"/>
      <c r="G789" s="4"/>
      <c r="H789" s="4"/>
      <c r="I789" s="4"/>
    </row>
    <row r="790" ht="15.75" customHeight="1">
      <c r="A790" s="4"/>
      <c r="B790" s="4"/>
      <c r="C790" s="4"/>
      <c r="D790" s="4"/>
      <c r="E790" s="4"/>
      <c r="F790" s="4"/>
      <c r="G790" s="4"/>
      <c r="H790" s="4"/>
      <c r="I790" s="4"/>
    </row>
    <row r="791" ht="15.75" customHeight="1">
      <c r="A791" s="4"/>
      <c r="B791" s="4"/>
      <c r="C791" s="4"/>
      <c r="D791" s="4"/>
      <c r="E791" s="4"/>
      <c r="F791" s="4"/>
      <c r="G791" s="4"/>
      <c r="H791" s="4"/>
      <c r="I791" s="4"/>
    </row>
    <row r="792" ht="15.75" customHeight="1">
      <c r="A792" s="4"/>
      <c r="B792" s="4"/>
      <c r="C792" s="4"/>
      <c r="D792" s="4"/>
      <c r="E792" s="4"/>
      <c r="F792" s="4"/>
      <c r="G792" s="4"/>
      <c r="H792" s="4"/>
      <c r="I792" s="4"/>
    </row>
    <row r="793" ht="15.75" customHeight="1">
      <c r="A793" s="4"/>
      <c r="B793" s="4"/>
      <c r="C793" s="4"/>
      <c r="D793" s="4"/>
      <c r="E793" s="4"/>
      <c r="F793" s="4"/>
      <c r="G793" s="4"/>
      <c r="H793" s="4"/>
      <c r="I793" s="4"/>
    </row>
    <row r="794" ht="15.75" customHeight="1">
      <c r="A794" s="4"/>
      <c r="B794" s="4"/>
      <c r="C794" s="4"/>
      <c r="D794" s="4"/>
      <c r="E794" s="4"/>
      <c r="F794" s="4"/>
      <c r="G794" s="4"/>
      <c r="H794" s="4"/>
      <c r="I794" s="4"/>
    </row>
    <row r="795" ht="15.75" customHeight="1">
      <c r="A795" s="4"/>
      <c r="B795" s="4"/>
      <c r="C795" s="4"/>
      <c r="D795" s="4"/>
      <c r="E795" s="4"/>
      <c r="F795" s="4"/>
      <c r="G795" s="4"/>
      <c r="H795" s="4"/>
      <c r="I795" s="4"/>
    </row>
    <row r="796" ht="15.75" customHeight="1">
      <c r="A796" s="4"/>
      <c r="B796" s="4"/>
      <c r="C796" s="4"/>
      <c r="D796" s="4"/>
      <c r="E796" s="4"/>
      <c r="F796" s="4"/>
      <c r="G796" s="4"/>
      <c r="H796" s="4"/>
      <c r="I796" s="4"/>
    </row>
    <row r="797" ht="15.75" customHeight="1">
      <c r="A797" s="4"/>
      <c r="B797" s="4"/>
      <c r="C797" s="4"/>
      <c r="D797" s="4"/>
      <c r="E797" s="4"/>
      <c r="F797" s="4"/>
      <c r="G797" s="4"/>
      <c r="H797" s="4"/>
      <c r="I797" s="4"/>
    </row>
    <row r="798" ht="15.75" customHeight="1">
      <c r="A798" s="4"/>
      <c r="B798" s="4"/>
      <c r="C798" s="4"/>
      <c r="D798" s="4"/>
      <c r="E798" s="4"/>
      <c r="F798" s="4"/>
      <c r="G798" s="4"/>
      <c r="H798" s="4"/>
      <c r="I798" s="4"/>
    </row>
    <row r="799" ht="15.75" customHeight="1">
      <c r="A799" s="4"/>
      <c r="B799" s="4"/>
      <c r="C799" s="4"/>
      <c r="D799" s="4"/>
      <c r="E799" s="4"/>
      <c r="F799" s="4"/>
      <c r="G799" s="4"/>
      <c r="H799" s="4"/>
      <c r="I799" s="4"/>
    </row>
    <row r="800" ht="15.75" customHeight="1">
      <c r="A800" s="4"/>
      <c r="B800" s="4"/>
      <c r="C800" s="4"/>
      <c r="D800" s="4"/>
      <c r="E800" s="4"/>
      <c r="F800" s="4"/>
      <c r="G800" s="4"/>
      <c r="H800" s="4"/>
      <c r="I800" s="4"/>
    </row>
    <row r="801" ht="15.75" customHeight="1">
      <c r="A801" s="4"/>
      <c r="B801" s="4"/>
      <c r="C801" s="4"/>
      <c r="D801" s="4"/>
      <c r="E801" s="4"/>
      <c r="F801" s="4"/>
      <c r="G801" s="4"/>
      <c r="H801" s="4"/>
      <c r="I801" s="4"/>
    </row>
    <row r="802" ht="15.75" customHeight="1">
      <c r="A802" s="4"/>
      <c r="B802" s="4"/>
      <c r="C802" s="4"/>
      <c r="D802" s="4"/>
      <c r="E802" s="4"/>
      <c r="F802" s="4"/>
      <c r="G802" s="4"/>
      <c r="H802" s="4"/>
      <c r="I802" s="4"/>
    </row>
    <row r="803" ht="15.75" customHeight="1">
      <c r="A803" s="4"/>
      <c r="B803" s="4"/>
      <c r="C803" s="4"/>
      <c r="D803" s="4"/>
      <c r="E803" s="4"/>
      <c r="F803" s="4"/>
      <c r="G803" s="4"/>
      <c r="H803" s="4"/>
      <c r="I803" s="4"/>
    </row>
    <row r="804" ht="15.75" customHeight="1">
      <c r="A804" s="4"/>
      <c r="B804" s="4"/>
      <c r="C804" s="4"/>
      <c r="D804" s="4"/>
      <c r="E804" s="4"/>
      <c r="F804" s="4"/>
      <c r="G804" s="4"/>
      <c r="H804" s="4"/>
      <c r="I804" s="4"/>
    </row>
    <row r="805" ht="15.75" customHeight="1">
      <c r="A805" s="4"/>
      <c r="B805" s="4"/>
      <c r="C805" s="4"/>
      <c r="D805" s="4"/>
      <c r="E805" s="4"/>
      <c r="F805" s="4"/>
      <c r="G805" s="4"/>
      <c r="H805" s="4"/>
      <c r="I805" s="4"/>
    </row>
    <row r="806" ht="15.75" customHeight="1">
      <c r="A806" s="4"/>
      <c r="B806" s="4"/>
      <c r="C806" s="4"/>
      <c r="D806" s="4"/>
      <c r="E806" s="4"/>
      <c r="F806" s="4"/>
      <c r="G806" s="4"/>
      <c r="H806" s="4"/>
      <c r="I806" s="4"/>
    </row>
    <row r="807" ht="15.75" customHeight="1">
      <c r="A807" s="4"/>
      <c r="B807" s="4"/>
      <c r="C807" s="4"/>
      <c r="D807" s="4"/>
      <c r="E807" s="4"/>
      <c r="F807" s="4"/>
      <c r="G807" s="4"/>
      <c r="H807" s="4"/>
      <c r="I807" s="4"/>
    </row>
    <row r="808" ht="15.75" customHeight="1">
      <c r="A808" s="4"/>
      <c r="B808" s="4"/>
      <c r="C808" s="4"/>
      <c r="D808" s="4"/>
      <c r="E808" s="4"/>
      <c r="F808" s="4"/>
      <c r="G808" s="4"/>
      <c r="H808" s="4"/>
      <c r="I808" s="4"/>
    </row>
    <row r="809" ht="15.75" customHeight="1">
      <c r="A809" s="4"/>
      <c r="B809" s="4"/>
      <c r="C809" s="4"/>
      <c r="D809" s="4"/>
      <c r="E809" s="4"/>
      <c r="F809" s="4"/>
      <c r="G809" s="4"/>
      <c r="H809" s="4"/>
      <c r="I809" s="4"/>
    </row>
    <row r="810" ht="15.75" customHeight="1">
      <c r="A810" s="4"/>
      <c r="B810" s="4"/>
      <c r="C810" s="4"/>
      <c r="D810" s="4"/>
      <c r="E810" s="4"/>
      <c r="F810" s="4"/>
      <c r="G810" s="4"/>
      <c r="H810" s="4"/>
      <c r="I810" s="4"/>
    </row>
    <row r="811" ht="15.75" customHeight="1">
      <c r="A811" s="4"/>
      <c r="B811" s="4"/>
      <c r="C811" s="4"/>
      <c r="D811" s="4"/>
      <c r="E811" s="4"/>
      <c r="F811" s="4"/>
      <c r="G811" s="4"/>
      <c r="H811" s="4"/>
      <c r="I811" s="4"/>
    </row>
    <row r="812" ht="15.75" customHeight="1">
      <c r="A812" s="4"/>
      <c r="B812" s="4"/>
      <c r="C812" s="4"/>
      <c r="D812" s="4"/>
      <c r="E812" s="4"/>
      <c r="F812" s="4"/>
      <c r="G812" s="4"/>
      <c r="H812" s="4"/>
      <c r="I812" s="4"/>
    </row>
    <row r="813" ht="15.75" customHeight="1">
      <c r="A813" s="4"/>
      <c r="B813" s="4"/>
      <c r="C813" s="4"/>
      <c r="D813" s="4"/>
      <c r="E813" s="4"/>
      <c r="F813" s="4"/>
      <c r="G813" s="4"/>
      <c r="H813" s="4"/>
      <c r="I813" s="4"/>
    </row>
    <row r="814" ht="15.75" customHeight="1">
      <c r="A814" s="4"/>
      <c r="B814" s="4"/>
      <c r="C814" s="4"/>
      <c r="D814" s="4"/>
      <c r="E814" s="4"/>
      <c r="F814" s="4"/>
      <c r="G814" s="4"/>
      <c r="H814" s="4"/>
      <c r="I814" s="4"/>
    </row>
    <row r="815" ht="15.75" customHeight="1">
      <c r="A815" s="4"/>
      <c r="B815" s="4"/>
      <c r="C815" s="4"/>
      <c r="D815" s="4"/>
      <c r="E815" s="4"/>
      <c r="F815" s="4"/>
      <c r="G815" s="4"/>
      <c r="H815" s="4"/>
      <c r="I815" s="4"/>
    </row>
    <row r="816" ht="15.75" customHeight="1">
      <c r="A816" s="4"/>
      <c r="B816" s="4"/>
      <c r="C816" s="4"/>
      <c r="D816" s="4"/>
      <c r="E816" s="4"/>
      <c r="F816" s="4"/>
      <c r="G816" s="4"/>
      <c r="H816" s="4"/>
      <c r="I816" s="4"/>
    </row>
    <row r="817" ht="15.75" customHeight="1">
      <c r="A817" s="4"/>
      <c r="B817" s="4"/>
      <c r="C817" s="4"/>
      <c r="D817" s="4"/>
      <c r="E817" s="4"/>
      <c r="F817" s="4"/>
      <c r="G817" s="4"/>
      <c r="H817" s="4"/>
      <c r="I817" s="4"/>
    </row>
    <row r="818" ht="15.75" customHeight="1">
      <c r="A818" s="4"/>
      <c r="B818" s="4"/>
      <c r="C818" s="4"/>
      <c r="D818" s="4"/>
      <c r="E818" s="4"/>
      <c r="F818" s="4"/>
      <c r="G818" s="4"/>
      <c r="H818" s="4"/>
      <c r="I818" s="4"/>
    </row>
    <row r="819" ht="15.75" customHeight="1">
      <c r="A819" s="4"/>
      <c r="B819" s="4"/>
      <c r="C819" s="4"/>
      <c r="D819" s="4"/>
      <c r="E819" s="4"/>
      <c r="F819" s="4"/>
      <c r="G819" s="4"/>
      <c r="H819" s="4"/>
      <c r="I819" s="4"/>
    </row>
    <row r="820" ht="15.75" customHeight="1">
      <c r="A820" s="4"/>
      <c r="B820" s="4"/>
      <c r="C820" s="4"/>
      <c r="D820" s="4"/>
      <c r="E820" s="4"/>
      <c r="F820" s="4"/>
      <c r="G820" s="4"/>
      <c r="H820" s="4"/>
      <c r="I820" s="4"/>
    </row>
    <row r="821" ht="15.75" customHeight="1">
      <c r="A821" s="4"/>
      <c r="B821" s="4"/>
      <c r="C821" s="4"/>
      <c r="D821" s="4"/>
      <c r="E821" s="4"/>
      <c r="F821" s="4"/>
      <c r="G821" s="4"/>
      <c r="H821" s="4"/>
      <c r="I821" s="4"/>
    </row>
    <row r="822" ht="15.75" customHeight="1">
      <c r="A822" s="4"/>
      <c r="B822" s="4"/>
      <c r="C822" s="4"/>
      <c r="D822" s="4"/>
      <c r="E822" s="4"/>
      <c r="F822" s="4"/>
      <c r="G822" s="4"/>
      <c r="H822" s="4"/>
      <c r="I822" s="4"/>
    </row>
    <row r="823" ht="15.75" customHeight="1">
      <c r="A823" s="4"/>
      <c r="B823" s="4"/>
      <c r="C823" s="4"/>
      <c r="D823" s="4"/>
      <c r="E823" s="4"/>
      <c r="F823" s="4"/>
      <c r="G823" s="4"/>
      <c r="H823" s="4"/>
      <c r="I823" s="4"/>
    </row>
    <row r="824" ht="15.75" customHeight="1">
      <c r="A824" s="4"/>
      <c r="B824" s="4"/>
      <c r="C824" s="4"/>
      <c r="D824" s="4"/>
      <c r="E824" s="4"/>
      <c r="F824" s="4"/>
      <c r="G824" s="4"/>
      <c r="H824" s="4"/>
      <c r="I824" s="4"/>
    </row>
    <row r="825" ht="15.75" customHeight="1">
      <c r="A825" s="4"/>
      <c r="B825" s="4"/>
      <c r="C825" s="4"/>
      <c r="D825" s="4"/>
      <c r="E825" s="4"/>
      <c r="F825" s="4"/>
      <c r="G825" s="4"/>
      <c r="H825" s="4"/>
      <c r="I825" s="4"/>
    </row>
    <row r="826" ht="15.75" customHeight="1">
      <c r="A826" s="4"/>
      <c r="B826" s="4"/>
      <c r="C826" s="4"/>
      <c r="D826" s="4"/>
      <c r="E826" s="4"/>
      <c r="F826" s="4"/>
      <c r="G826" s="4"/>
      <c r="H826" s="4"/>
      <c r="I826" s="4"/>
    </row>
    <row r="827" ht="15.75" customHeight="1">
      <c r="A827" s="4"/>
      <c r="B827" s="4"/>
      <c r="C827" s="4"/>
      <c r="D827" s="4"/>
      <c r="E827" s="4"/>
      <c r="F827" s="4"/>
      <c r="G827" s="4"/>
      <c r="H827" s="4"/>
      <c r="I827" s="4"/>
    </row>
    <row r="828" ht="15.75" customHeight="1">
      <c r="A828" s="4"/>
      <c r="B828" s="4"/>
      <c r="C828" s="4"/>
      <c r="D828" s="4"/>
      <c r="E828" s="4"/>
      <c r="F828" s="4"/>
      <c r="G828" s="4"/>
      <c r="H828" s="4"/>
      <c r="I828" s="4"/>
    </row>
    <row r="829" ht="15.75" customHeight="1">
      <c r="A829" s="4"/>
      <c r="B829" s="4"/>
      <c r="C829" s="4"/>
      <c r="D829" s="4"/>
      <c r="E829" s="4"/>
      <c r="F829" s="4"/>
      <c r="G829" s="4"/>
      <c r="H829" s="4"/>
      <c r="I829" s="4"/>
    </row>
    <row r="830" ht="15.75" customHeight="1">
      <c r="A830" s="4"/>
      <c r="B830" s="4"/>
      <c r="C830" s="4"/>
      <c r="D830" s="4"/>
      <c r="E830" s="4"/>
      <c r="F830" s="4"/>
      <c r="G830" s="4"/>
      <c r="H830" s="4"/>
      <c r="I830" s="4"/>
    </row>
    <row r="831" ht="15.75" customHeight="1">
      <c r="A831" s="4"/>
      <c r="B831" s="4"/>
      <c r="C831" s="4"/>
      <c r="D831" s="4"/>
      <c r="E831" s="4"/>
      <c r="F831" s="4"/>
      <c r="G831" s="4"/>
      <c r="H831" s="4"/>
      <c r="I831" s="4"/>
    </row>
    <row r="832" ht="15.75" customHeight="1">
      <c r="A832" s="4"/>
      <c r="B832" s="4"/>
      <c r="C832" s="4"/>
      <c r="D832" s="4"/>
      <c r="E832" s="4"/>
      <c r="F832" s="4"/>
      <c r="G832" s="4"/>
      <c r="H832" s="4"/>
      <c r="I832" s="4"/>
    </row>
    <row r="833" ht="15.75" customHeight="1">
      <c r="A833" s="4"/>
      <c r="B833" s="4"/>
      <c r="C833" s="4"/>
      <c r="D833" s="4"/>
      <c r="E833" s="4"/>
      <c r="F833" s="4"/>
      <c r="G833" s="4"/>
      <c r="H833" s="4"/>
      <c r="I833" s="4"/>
    </row>
    <row r="834" ht="15.75" customHeight="1">
      <c r="A834" s="4"/>
      <c r="B834" s="4"/>
      <c r="C834" s="4"/>
      <c r="D834" s="4"/>
      <c r="E834" s="4"/>
      <c r="F834" s="4"/>
      <c r="G834" s="4"/>
      <c r="H834" s="4"/>
      <c r="I834" s="4"/>
    </row>
    <row r="835" ht="15.75" customHeight="1">
      <c r="A835" s="4"/>
      <c r="B835" s="4"/>
      <c r="C835" s="4"/>
      <c r="D835" s="4"/>
      <c r="E835" s="4"/>
      <c r="F835" s="4"/>
      <c r="G835" s="4"/>
      <c r="H835" s="4"/>
      <c r="I835" s="4"/>
    </row>
    <row r="836" ht="15.75" customHeight="1">
      <c r="A836" s="4"/>
      <c r="B836" s="4"/>
      <c r="C836" s="4"/>
      <c r="D836" s="4"/>
      <c r="E836" s="4"/>
      <c r="F836" s="4"/>
      <c r="G836" s="4"/>
      <c r="H836" s="4"/>
      <c r="I836" s="4"/>
    </row>
    <row r="837" ht="15.75" customHeight="1">
      <c r="A837" s="4"/>
      <c r="B837" s="4"/>
      <c r="C837" s="4"/>
      <c r="D837" s="4"/>
      <c r="E837" s="4"/>
      <c r="F837" s="4"/>
      <c r="G837" s="4"/>
      <c r="H837" s="4"/>
      <c r="I837" s="4"/>
    </row>
    <row r="838" ht="15.75" customHeight="1">
      <c r="A838" s="4"/>
      <c r="B838" s="4"/>
      <c r="C838" s="4"/>
      <c r="D838" s="4"/>
      <c r="E838" s="4"/>
      <c r="F838" s="4"/>
      <c r="G838" s="4"/>
      <c r="H838" s="4"/>
      <c r="I838" s="4"/>
    </row>
    <row r="839" ht="15.75" customHeight="1">
      <c r="A839" s="4"/>
      <c r="B839" s="4"/>
      <c r="C839" s="4"/>
      <c r="D839" s="4"/>
      <c r="E839" s="4"/>
      <c r="F839" s="4"/>
      <c r="G839" s="4"/>
      <c r="H839" s="4"/>
      <c r="I839" s="4"/>
    </row>
    <row r="840" ht="15.75" customHeight="1">
      <c r="A840" s="4"/>
      <c r="B840" s="4"/>
      <c r="C840" s="4"/>
      <c r="D840" s="4"/>
      <c r="E840" s="4"/>
      <c r="F840" s="4"/>
      <c r="G840" s="4"/>
      <c r="H840" s="4"/>
      <c r="I840" s="4"/>
    </row>
    <row r="841" ht="15.75" customHeight="1">
      <c r="A841" s="4"/>
      <c r="B841" s="4"/>
      <c r="C841" s="4"/>
      <c r="D841" s="4"/>
      <c r="E841" s="4"/>
      <c r="F841" s="4"/>
      <c r="G841" s="4"/>
      <c r="H841" s="4"/>
      <c r="I841" s="4"/>
    </row>
    <row r="842" ht="15.75" customHeight="1">
      <c r="A842" s="4"/>
      <c r="B842" s="4"/>
      <c r="C842" s="4"/>
      <c r="D842" s="4"/>
      <c r="E842" s="4"/>
      <c r="F842" s="4"/>
      <c r="G842" s="4"/>
      <c r="H842" s="4"/>
      <c r="I842" s="4"/>
    </row>
    <row r="843" ht="15.75" customHeight="1">
      <c r="A843" s="4"/>
      <c r="B843" s="4"/>
      <c r="C843" s="4"/>
      <c r="D843" s="4"/>
      <c r="E843" s="4"/>
      <c r="F843" s="4"/>
      <c r="G843" s="4"/>
      <c r="H843" s="4"/>
      <c r="I843" s="4"/>
    </row>
    <row r="844" ht="15.75" customHeight="1">
      <c r="A844" s="4"/>
      <c r="B844" s="4"/>
      <c r="C844" s="4"/>
      <c r="D844" s="4"/>
      <c r="E844" s="4"/>
      <c r="F844" s="4"/>
      <c r="G844" s="4"/>
      <c r="H844" s="4"/>
      <c r="I844" s="4"/>
    </row>
    <row r="845" ht="15.75" customHeight="1">
      <c r="A845" s="4"/>
      <c r="B845" s="4"/>
      <c r="C845" s="4"/>
      <c r="D845" s="4"/>
      <c r="E845" s="4"/>
      <c r="F845" s="4"/>
      <c r="G845" s="4"/>
      <c r="H845" s="4"/>
      <c r="I845" s="4"/>
    </row>
    <row r="846" ht="15.75" customHeight="1">
      <c r="A846" s="4"/>
      <c r="B846" s="4"/>
      <c r="C846" s="4"/>
      <c r="D846" s="4"/>
      <c r="E846" s="4"/>
      <c r="F846" s="4"/>
      <c r="G846" s="4"/>
      <c r="H846" s="4"/>
      <c r="I846" s="4"/>
    </row>
    <row r="847" ht="15.75" customHeight="1">
      <c r="A847" s="4"/>
      <c r="B847" s="4"/>
      <c r="C847" s="4"/>
      <c r="D847" s="4"/>
      <c r="E847" s="4"/>
      <c r="F847" s="4"/>
      <c r="G847" s="4"/>
      <c r="H847" s="4"/>
      <c r="I847" s="4"/>
    </row>
    <row r="848" ht="15.75" customHeight="1">
      <c r="A848" s="4"/>
      <c r="B848" s="4"/>
      <c r="C848" s="4"/>
      <c r="D848" s="4"/>
      <c r="E848" s="4"/>
      <c r="F848" s="4"/>
      <c r="G848" s="4"/>
      <c r="H848" s="4"/>
      <c r="I848" s="4"/>
    </row>
    <row r="849" ht="15.75" customHeight="1">
      <c r="A849" s="4"/>
      <c r="B849" s="4"/>
      <c r="C849" s="4"/>
      <c r="D849" s="4"/>
      <c r="E849" s="4"/>
      <c r="F849" s="4"/>
      <c r="G849" s="4"/>
      <c r="H849" s="4"/>
      <c r="I849" s="4"/>
    </row>
    <row r="850" ht="15.75" customHeight="1">
      <c r="A850" s="4"/>
      <c r="B850" s="4"/>
      <c r="C850" s="4"/>
      <c r="D850" s="4"/>
      <c r="E850" s="4"/>
      <c r="F850" s="4"/>
      <c r="G850" s="4"/>
      <c r="H850" s="4"/>
      <c r="I850" s="4"/>
    </row>
    <row r="851" ht="15.75" customHeight="1">
      <c r="A851" s="4"/>
      <c r="B851" s="4"/>
      <c r="C851" s="4"/>
      <c r="D851" s="4"/>
      <c r="E851" s="4"/>
      <c r="F851" s="4"/>
      <c r="G851" s="4"/>
      <c r="H851" s="4"/>
      <c r="I851" s="4"/>
    </row>
    <row r="852" ht="15.75" customHeight="1">
      <c r="A852" s="4"/>
      <c r="B852" s="4"/>
      <c r="C852" s="4"/>
      <c r="D852" s="4"/>
      <c r="E852" s="4"/>
      <c r="F852" s="4"/>
      <c r="G852" s="4"/>
      <c r="H852" s="4"/>
      <c r="I852" s="4"/>
    </row>
    <row r="853" ht="15.75" customHeight="1">
      <c r="A853" s="4"/>
      <c r="B853" s="4"/>
      <c r="C853" s="4"/>
      <c r="D853" s="4"/>
      <c r="E853" s="4"/>
      <c r="F853" s="4"/>
      <c r="G853" s="4"/>
      <c r="H853" s="4"/>
      <c r="I853" s="4"/>
    </row>
    <row r="854" ht="15.75" customHeight="1">
      <c r="A854" s="4"/>
      <c r="B854" s="4"/>
      <c r="C854" s="4"/>
      <c r="D854" s="4"/>
      <c r="E854" s="4"/>
      <c r="F854" s="4"/>
      <c r="G854" s="4"/>
      <c r="H854" s="4"/>
      <c r="I854" s="4"/>
    </row>
    <row r="855" ht="15.75" customHeight="1">
      <c r="A855" s="4"/>
      <c r="B855" s="4"/>
      <c r="C855" s="4"/>
      <c r="D855" s="4"/>
      <c r="E855" s="4"/>
      <c r="F855" s="4"/>
      <c r="G855" s="4"/>
      <c r="H855" s="4"/>
      <c r="I855" s="4"/>
    </row>
    <row r="856" ht="15.75" customHeight="1">
      <c r="A856" s="4"/>
      <c r="B856" s="4"/>
      <c r="C856" s="4"/>
      <c r="D856" s="4"/>
      <c r="E856" s="4"/>
      <c r="F856" s="4"/>
      <c r="G856" s="4"/>
      <c r="H856" s="4"/>
      <c r="I856" s="4"/>
    </row>
    <row r="857" ht="15.75" customHeight="1">
      <c r="A857" s="4"/>
      <c r="B857" s="4"/>
      <c r="C857" s="4"/>
      <c r="D857" s="4"/>
      <c r="E857" s="4"/>
      <c r="F857" s="4"/>
      <c r="G857" s="4"/>
      <c r="H857" s="4"/>
      <c r="I857" s="4"/>
    </row>
    <row r="858" ht="15.75" customHeight="1">
      <c r="A858" s="4"/>
      <c r="B858" s="4"/>
      <c r="C858" s="4"/>
      <c r="D858" s="4"/>
      <c r="E858" s="4"/>
      <c r="F858" s="4"/>
      <c r="G858" s="4"/>
      <c r="H858" s="4"/>
      <c r="I858" s="4"/>
    </row>
    <row r="859" ht="15.75" customHeight="1">
      <c r="A859" s="4"/>
      <c r="B859" s="4"/>
      <c r="C859" s="4"/>
      <c r="D859" s="4"/>
      <c r="E859" s="4"/>
      <c r="F859" s="4"/>
      <c r="G859" s="4"/>
      <c r="H859" s="4"/>
      <c r="I859" s="4"/>
    </row>
    <row r="860" ht="15.75" customHeight="1">
      <c r="A860" s="4"/>
      <c r="B860" s="4"/>
      <c r="C860" s="4"/>
      <c r="D860" s="4"/>
      <c r="E860" s="4"/>
      <c r="F860" s="4"/>
      <c r="G860" s="4"/>
      <c r="H860" s="4"/>
      <c r="I860" s="4"/>
    </row>
    <row r="861" ht="15.75" customHeight="1">
      <c r="A861" s="4"/>
      <c r="B861" s="4"/>
      <c r="C861" s="4"/>
      <c r="D861" s="4"/>
      <c r="E861" s="4"/>
      <c r="F861" s="4"/>
      <c r="G861" s="4"/>
      <c r="H861" s="4"/>
      <c r="I861" s="4"/>
    </row>
    <row r="862" ht="15.75" customHeight="1">
      <c r="A862" s="4"/>
      <c r="B862" s="4"/>
      <c r="C862" s="4"/>
      <c r="D862" s="4"/>
      <c r="E862" s="4"/>
      <c r="F862" s="4"/>
      <c r="G862" s="4"/>
      <c r="H862" s="4"/>
      <c r="I862" s="4"/>
    </row>
    <row r="863" ht="15.75" customHeight="1">
      <c r="A863" s="4"/>
      <c r="B863" s="4"/>
      <c r="C863" s="4"/>
      <c r="D863" s="4"/>
      <c r="E863" s="4"/>
      <c r="F863" s="4"/>
      <c r="G863" s="4"/>
      <c r="H863" s="4"/>
      <c r="I863" s="4"/>
    </row>
    <row r="864" ht="15.75" customHeight="1">
      <c r="A864" s="4"/>
      <c r="B864" s="4"/>
      <c r="C864" s="4"/>
      <c r="D864" s="4"/>
      <c r="E864" s="4"/>
      <c r="F864" s="4"/>
      <c r="G864" s="4"/>
      <c r="H864" s="4"/>
      <c r="I864" s="4"/>
    </row>
    <row r="865" ht="15.75" customHeight="1">
      <c r="A865" s="4"/>
      <c r="B865" s="4"/>
      <c r="C865" s="4"/>
      <c r="D865" s="4"/>
      <c r="E865" s="4"/>
      <c r="F865" s="4"/>
      <c r="G865" s="4"/>
      <c r="H865" s="4"/>
      <c r="I865" s="4"/>
    </row>
    <row r="866" ht="15.75" customHeight="1">
      <c r="A866" s="4"/>
      <c r="B866" s="4"/>
      <c r="C866" s="4"/>
      <c r="D866" s="4"/>
      <c r="E866" s="4"/>
      <c r="F866" s="4"/>
      <c r="G866" s="4"/>
      <c r="H866" s="4"/>
      <c r="I866" s="4"/>
    </row>
    <row r="867" ht="15.75" customHeight="1">
      <c r="A867" s="4"/>
      <c r="B867" s="4"/>
      <c r="C867" s="4"/>
      <c r="D867" s="4"/>
      <c r="E867" s="4"/>
      <c r="F867" s="4"/>
      <c r="G867" s="4"/>
      <c r="H867" s="4"/>
      <c r="I867" s="4"/>
    </row>
    <row r="868" ht="15.75" customHeight="1">
      <c r="A868" s="4"/>
      <c r="B868" s="4"/>
      <c r="C868" s="4"/>
      <c r="D868" s="4"/>
      <c r="E868" s="4"/>
      <c r="F868" s="4"/>
      <c r="G868" s="4"/>
      <c r="H868" s="4"/>
      <c r="I868" s="4"/>
    </row>
    <row r="869" ht="15.75" customHeight="1">
      <c r="A869" s="4"/>
      <c r="B869" s="4"/>
      <c r="C869" s="4"/>
      <c r="D869" s="4"/>
      <c r="E869" s="4"/>
      <c r="F869" s="4"/>
      <c r="G869" s="4"/>
      <c r="H869" s="4"/>
      <c r="I869" s="4"/>
    </row>
    <row r="870" ht="15.75" customHeight="1">
      <c r="A870" s="4"/>
      <c r="B870" s="4"/>
      <c r="C870" s="4"/>
      <c r="D870" s="4"/>
      <c r="E870" s="4"/>
      <c r="F870" s="4"/>
      <c r="G870" s="4"/>
      <c r="H870" s="4"/>
      <c r="I870" s="4"/>
    </row>
    <row r="871" ht="15.75" customHeight="1">
      <c r="A871" s="4"/>
      <c r="B871" s="4"/>
      <c r="C871" s="4"/>
      <c r="D871" s="4"/>
      <c r="E871" s="4"/>
      <c r="F871" s="4"/>
      <c r="G871" s="4"/>
      <c r="H871" s="4"/>
      <c r="I871" s="4"/>
    </row>
    <row r="872" ht="15.75" customHeight="1">
      <c r="A872" s="4"/>
      <c r="B872" s="4"/>
      <c r="C872" s="4"/>
      <c r="D872" s="4"/>
      <c r="E872" s="4"/>
      <c r="F872" s="4"/>
      <c r="G872" s="4"/>
      <c r="H872" s="4"/>
      <c r="I872" s="4"/>
    </row>
    <row r="873" ht="15.75" customHeight="1">
      <c r="A873" s="4"/>
      <c r="B873" s="4"/>
      <c r="C873" s="4"/>
      <c r="D873" s="4"/>
      <c r="E873" s="4"/>
      <c r="F873" s="4"/>
      <c r="G873" s="4"/>
      <c r="H873" s="4"/>
      <c r="I873" s="4"/>
    </row>
    <row r="874" ht="15.75" customHeight="1">
      <c r="A874" s="4"/>
      <c r="B874" s="4"/>
      <c r="C874" s="4"/>
      <c r="D874" s="4"/>
      <c r="E874" s="4"/>
      <c r="F874" s="4"/>
      <c r="G874" s="4"/>
      <c r="H874" s="4"/>
      <c r="I874" s="4"/>
    </row>
    <row r="875" ht="15.75" customHeight="1">
      <c r="A875" s="4"/>
      <c r="B875" s="4"/>
      <c r="C875" s="4"/>
      <c r="D875" s="4"/>
      <c r="E875" s="4"/>
      <c r="F875" s="4"/>
      <c r="G875" s="4"/>
      <c r="H875" s="4"/>
      <c r="I875" s="4"/>
    </row>
    <row r="876" ht="15.75" customHeight="1">
      <c r="A876" s="4"/>
      <c r="B876" s="4"/>
      <c r="C876" s="4"/>
      <c r="D876" s="4"/>
      <c r="E876" s="4"/>
      <c r="F876" s="4"/>
      <c r="G876" s="4"/>
      <c r="H876" s="4"/>
      <c r="I876" s="4"/>
    </row>
    <row r="877" ht="15.75" customHeight="1">
      <c r="A877" s="4"/>
      <c r="B877" s="4"/>
      <c r="C877" s="4"/>
      <c r="D877" s="4"/>
      <c r="E877" s="4"/>
      <c r="F877" s="4"/>
      <c r="G877" s="4"/>
      <c r="H877" s="4"/>
      <c r="I877" s="4"/>
    </row>
    <row r="878" ht="15.75" customHeight="1">
      <c r="A878" s="4"/>
      <c r="B878" s="4"/>
      <c r="C878" s="4"/>
      <c r="D878" s="4"/>
      <c r="E878" s="4"/>
      <c r="F878" s="4"/>
      <c r="G878" s="4"/>
      <c r="H878" s="4"/>
      <c r="I878" s="4"/>
    </row>
    <row r="879" ht="15.75" customHeight="1">
      <c r="A879" s="4"/>
      <c r="B879" s="4"/>
      <c r="C879" s="4"/>
      <c r="D879" s="4"/>
      <c r="E879" s="4"/>
      <c r="F879" s="4"/>
      <c r="G879" s="4"/>
      <c r="H879" s="4"/>
      <c r="I879" s="4"/>
    </row>
    <row r="880" ht="15.75" customHeight="1">
      <c r="A880" s="4"/>
      <c r="B880" s="4"/>
      <c r="C880" s="4"/>
      <c r="D880" s="4"/>
      <c r="E880" s="4"/>
      <c r="F880" s="4"/>
      <c r="G880" s="4"/>
      <c r="H880" s="4"/>
      <c r="I880" s="4"/>
    </row>
    <row r="881" ht="15.75" customHeight="1">
      <c r="A881" s="4"/>
      <c r="B881" s="4"/>
      <c r="C881" s="4"/>
      <c r="D881" s="4"/>
      <c r="E881" s="4"/>
      <c r="F881" s="4"/>
      <c r="G881" s="4"/>
      <c r="H881" s="4"/>
      <c r="I881" s="4"/>
    </row>
    <row r="882" ht="15.75" customHeight="1">
      <c r="A882" s="4"/>
      <c r="B882" s="4"/>
      <c r="C882" s="4"/>
      <c r="D882" s="4"/>
      <c r="E882" s="4"/>
      <c r="F882" s="4"/>
      <c r="G882" s="4"/>
      <c r="H882" s="4"/>
      <c r="I882" s="4"/>
    </row>
    <row r="883" ht="15.75" customHeight="1">
      <c r="A883" s="4"/>
      <c r="B883" s="4"/>
      <c r="C883" s="4"/>
      <c r="D883" s="4"/>
      <c r="E883" s="4"/>
      <c r="F883" s="4"/>
      <c r="G883" s="4"/>
      <c r="H883" s="4"/>
      <c r="I883" s="4"/>
    </row>
    <row r="884" ht="15.75" customHeight="1">
      <c r="A884" s="4"/>
      <c r="B884" s="4"/>
      <c r="C884" s="4"/>
      <c r="D884" s="4"/>
      <c r="E884" s="4"/>
      <c r="F884" s="4"/>
      <c r="G884" s="4"/>
      <c r="H884" s="4"/>
      <c r="I884" s="4"/>
    </row>
    <row r="885" ht="15.75" customHeight="1">
      <c r="A885" s="4"/>
      <c r="B885" s="4"/>
      <c r="C885" s="4"/>
      <c r="D885" s="4"/>
      <c r="E885" s="4"/>
      <c r="F885" s="4"/>
      <c r="G885" s="4"/>
      <c r="H885" s="4"/>
      <c r="I885" s="4"/>
    </row>
    <row r="886" ht="15.75" customHeight="1">
      <c r="A886" s="4"/>
      <c r="B886" s="4"/>
      <c r="C886" s="4"/>
      <c r="D886" s="4"/>
      <c r="E886" s="4"/>
      <c r="F886" s="4"/>
      <c r="G886" s="4"/>
      <c r="H886" s="4"/>
      <c r="I886" s="4"/>
    </row>
    <row r="887" ht="15.75" customHeight="1">
      <c r="A887" s="4"/>
      <c r="B887" s="4"/>
      <c r="C887" s="4"/>
      <c r="D887" s="4"/>
      <c r="E887" s="4"/>
      <c r="F887" s="4"/>
      <c r="G887" s="4"/>
      <c r="H887" s="4"/>
      <c r="I887" s="4"/>
    </row>
    <row r="888" ht="15.75" customHeight="1">
      <c r="A888" s="4"/>
      <c r="B888" s="4"/>
      <c r="C888" s="4"/>
      <c r="D888" s="4"/>
      <c r="E888" s="4"/>
      <c r="F888" s="4"/>
      <c r="G888" s="4"/>
      <c r="H888" s="4"/>
      <c r="I888" s="4"/>
    </row>
    <row r="889" ht="15.75" customHeight="1">
      <c r="A889" s="4"/>
      <c r="B889" s="4"/>
      <c r="C889" s="4"/>
      <c r="D889" s="4"/>
      <c r="E889" s="4"/>
      <c r="F889" s="4"/>
      <c r="G889" s="4"/>
      <c r="H889" s="4"/>
      <c r="I889" s="4"/>
    </row>
    <row r="890" ht="15.75" customHeight="1">
      <c r="A890" s="4"/>
      <c r="B890" s="4"/>
      <c r="C890" s="4"/>
      <c r="D890" s="4"/>
      <c r="E890" s="4"/>
      <c r="F890" s="4"/>
      <c r="G890" s="4"/>
      <c r="H890" s="4"/>
      <c r="I890" s="4"/>
    </row>
    <row r="891" ht="15.75" customHeight="1">
      <c r="A891" s="4"/>
      <c r="B891" s="4"/>
      <c r="C891" s="4"/>
      <c r="D891" s="4"/>
      <c r="E891" s="4"/>
      <c r="F891" s="4"/>
      <c r="G891" s="4"/>
      <c r="H891" s="4"/>
      <c r="I891" s="4"/>
    </row>
    <row r="892" ht="15.75" customHeight="1">
      <c r="A892" s="4"/>
      <c r="B892" s="4"/>
      <c r="C892" s="4"/>
      <c r="D892" s="4"/>
      <c r="E892" s="4"/>
      <c r="F892" s="4"/>
      <c r="G892" s="4"/>
      <c r="H892" s="4"/>
      <c r="I892" s="4"/>
    </row>
    <row r="893" ht="15.75" customHeight="1">
      <c r="A893" s="4"/>
      <c r="B893" s="4"/>
      <c r="C893" s="4"/>
      <c r="D893" s="4"/>
      <c r="E893" s="4"/>
      <c r="F893" s="4"/>
      <c r="G893" s="4"/>
      <c r="H893" s="4"/>
      <c r="I893" s="4"/>
    </row>
    <row r="894" ht="15.75" customHeight="1">
      <c r="A894" s="4"/>
      <c r="B894" s="4"/>
      <c r="C894" s="4"/>
      <c r="D894" s="4"/>
      <c r="E894" s="4"/>
      <c r="F894" s="4"/>
      <c r="G894" s="4"/>
      <c r="H894" s="4"/>
      <c r="I894" s="4"/>
    </row>
    <row r="895" ht="15.75" customHeight="1">
      <c r="A895" s="4"/>
      <c r="B895" s="4"/>
      <c r="C895" s="4"/>
      <c r="D895" s="4"/>
      <c r="E895" s="4"/>
      <c r="F895" s="4"/>
      <c r="G895" s="4"/>
      <c r="H895" s="4"/>
      <c r="I895" s="4"/>
    </row>
    <row r="896" ht="15.75" customHeight="1">
      <c r="A896" s="4"/>
      <c r="B896" s="4"/>
      <c r="C896" s="4"/>
      <c r="D896" s="4"/>
      <c r="E896" s="4"/>
      <c r="F896" s="4"/>
      <c r="G896" s="4"/>
      <c r="H896" s="4"/>
      <c r="I896" s="4"/>
    </row>
    <row r="897" ht="15.75" customHeight="1">
      <c r="A897" s="4"/>
      <c r="B897" s="4"/>
      <c r="C897" s="4"/>
      <c r="D897" s="4"/>
      <c r="E897" s="4"/>
      <c r="F897" s="4"/>
      <c r="G897" s="4"/>
      <c r="H897" s="4"/>
      <c r="I897" s="4"/>
    </row>
    <row r="898" ht="15.75" customHeight="1">
      <c r="A898" s="4"/>
      <c r="B898" s="4"/>
      <c r="C898" s="4"/>
      <c r="D898" s="4"/>
      <c r="E898" s="4"/>
      <c r="F898" s="4"/>
      <c r="G898" s="4"/>
      <c r="H898" s="4"/>
      <c r="I898" s="4"/>
    </row>
    <row r="899" ht="15.75" customHeight="1">
      <c r="A899" s="4"/>
      <c r="B899" s="4"/>
      <c r="C899" s="4"/>
      <c r="D899" s="4"/>
      <c r="E899" s="4"/>
      <c r="F899" s="4"/>
      <c r="G899" s="4"/>
      <c r="H899" s="4"/>
      <c r="I899" s="4"/>
    </row>
    <row r="900" ht="15.75" customHeight="1">
      <c r="A900" s="4"/>
      <c r="B900" s="4"/>
      <c r="C900" s="4"/>
      <c r="D900" s="4"/>
      <c r="E900" s="4"/>
      <c r="F900" s="4"/>
      <c r="G900" s="4"/>
      <c r="H900" s="4"/>
      <c r="I900" s="4"/>
    </row>
    <row r="901" ht="15.75" customHeight="1">
      <c r="A901" s="4"/>
      <c r="B901" s="4"/>
      <c r="C901" s="4"/>
      <c r="D901" s="4"/>
      <c r="E901" s="4"/>
      <c r="F901" s="4"/>
      <c r="G901" s="4"/>
      <c r="H901" s="4"/>
      <c r="I901" s="4"/>
    </row>
    <row r="902" ht="15.75" customHeight="1">
      <c r="A902" s="4"/>
      <c r="B902" s="4"/>
      <c r="C902" s="4"/>
      <c r="D902" s="4"/>
      <c r="E902" s="4"/>
      <c r="F902" s="4"/>
      <c r="G902" s="4"/>
      <c r="H902" s="4"/>
      <c r="I902" s="4"/>
    </row>
    <row r="903" ht="15.75" customHeight="1">
      <c r="A903" s="4"/>
      <c r="B903" s="4"/>
      <c r="C903" s="4"/>
      <c r="D903" s="4"/>
      <c r="E903" s="4"/>
      <c r="F903" s="4"/>
      <c r="G903" s="4"/>
      <c r="H903" s="4"/>
      <c r="I903" s="4"/>
    </row>
    <row r="904" ht="15.75" customHeight="1">
      <c r="A904" s="4"/>
      <c r="B904" s="4"/>
      <c r="C904" s="4"/>
      <c r="D904" s="4"/>
      <c r="E904" s="4"/>
      <c r="F904" s="4"/>
      <c r="G904" s="4"/>
      <c r="H904" s="4"/>
      <c r="I904" s="4"/>
    </row>
    <row r="905" ht="15.75" customHeight="1">
      <c r="A905" s="4"/>
      <c r="B905" s="4"/>
      <c r="C905" s="4"/>
      <c r="D905" s="4"/>
      <c r="E905" s="4"/>
      <c r="F905" s="4"/>
      <c r="G905" s="4"/>
      <c r="H905" s="4"/>
      <c r="I905" s="4"/>
    </row>
    <row r="906" ht="15.75" customHeight="1">
      <c r="A906" s="4"/>
      <c r="B906" s="4"/>
      <c r="C906" s="4"/>
      <c r="D906" s="4"/>
      <c r="E906" s="4"/>
      <c r="F906" s="4"/>
      <c r="G906" s="4"/>
      <c r="H906" s="4"/>
      <c r="I906" s="4"/>
    </row>
    <row r="907" ht="15.75" customHeight="1">
      <c r="A907" s="4"/>
      <c r="B907" s="4"/>
      <c r="C907" s="4"/>
      <c r="D907" s="4"/>
      <c r="E907" s="4"/>
      <c r="F907" s="4"/>
      <c r="G907" s="4"/>
      <c r="H907" s="4"/>
      <c r="I907" s="4"/>
    </row>
    <row r="908" ht="15.75" customHeight="1">
      <c r="A908" s="4"/>
      <c r="B908" s="4"/>
      <c r="C908" s="4"/>
      <c r="D908" s="4"/>
      <c r="E908" s="4"/>
      <c r="F908" s="4"/>
      <c r="G908" s="4"/>
      <c r="H908" s="4"/>
      <c r="I908" s="4"/>
    </row>
    <row r="909" ht="15.75" customHeight="1">
      <c r="A909" s="4"/>
      <c r="B909" s="4"/>
      <c r="C909" s="4"/>
      <c r="D909" s="4"/>
      <c r="E909" s="4"/>
      <c r="F909" s="4"/>
      <c r="G909" s="4"/>
      <c r="H909" s="4"/>
      <c r="I909" s="4"/>
    </row>
    <row r="910" ht="15.75" customHeight="1">
      <c r="A910" s="4"/>
      <c r="B910" s="4"/>
      <c r="C910" s="4"/>
      <c r="D910" s="4"/>
      <c r="E910" s="4"/>
      <c r="F910" s="4"/>
      <c r="G910" s="4"/>
      <c r="H910" s="4"/>
      <c r="I910" s="4"/>
    </row>
    <row r="911" ht="15.75" customHeight="1">
      <c r="A911" s="4"/>
      <c r="B911" s="4"/>
      <c r="C911" s="4"/>
      <c r="D911" s="4"/>
      <c r="E911" s="4"/>
      <c r="F911" s="4"/>
      <c r="G911" s="4"/>
      <c r="H911" s="4"/>
      <c r="I911" s="4"/>
    </row>
    <row r="912" ht="15.75" customHeight="1">
      <c r="A912" s="4"/>
      <c r="B912" s="4"/>
      <c r="C912" s="4"/>
      <c r="D912" s="4"/>
      <c r="E912" s="4"/>
      <c r="F912" s="4"/>
      <c r="G912" s="4"/>
      <c r="H912" s="4"/>
      <c r="I912" s="4"/>
    </row>
    <row r="913" ht="15.75" customHeight="1">
      <c r="A913" s="4"/>
      <c r="B913" s="4"/>
      <c r="C913" s="4"/>
      <c r="D913" s="4"/>
      <c r="E913" s="4"/>
      <c r="F913" s="4"/>
      <c r="G913" s="4"/>
      <c r="H913" s="4"/>
      <c r="I913" s="4"/>
    </row>
    <row r="914" ht="15.75" customHeight="1">
      <c r="A914" s="4"/>
      <c r="B914" s="4"/>
      <c r="C914" s="4"/>
      <c r="D914" s="4"/>
      <c r="E914" s="4"/>
      <c r="F914" s="4"/>
      <c r="G914" s="4"/>
      <c r="H914" s="4"/>
      <c r="I914" s="4"/>
    </row>
    <row r="915" ht="15.75" customHeight="1">
      <c r="A915" s="4"/>
      <c r="B915" s="4"/>
      <c r="C915" s="4"/>
      <c r="D915" s="4"/>
      <c r="E915" s="4"/>
      <c r="F915" s="4"/>
      <c r="G915" s="4"/>
      <c r="H915" s="4"/>
      <c r="I915" s="4"/>
    </row>
    <row r="916" ht="15.75" customHeight="1">
      <c r="A916" s="4"/>
      <c r="B916" s="4"/>
      <c r="C916" s="4"/>
      <c r="D916" s="4"/>
      <c r="E916" s="4"/>
      <c r="F916" s="4"/>
      <c r="G916" s="4"/>
      <c r="H916" s="4"/>
      <c r="I916" s="4"/>
    </row>
    <row r="917" ht="15.75" customHeight="1">
      <c r="A917" s="4"/>
      <c r="B917" s="4"/>
      <c r="C917" s="4"/>
      <c r="D917" s="4"/>
      <c r="E917" s="4"/>
      <c r="F917" s="4"/>
      <c r="G917" s="4"/>
      <c r="H917" s="4"/>
      <c r="I917" s="4"/>
    </row>
    <row r="918" ht="15.75" customHeight="1">
      <c r="A918" s="4"/>
      <c r="B918" s="4"/>
      <c r="C918" s="4"/>
      <c r="D918" s="4"/>
      <c r="E918" s="4"/>
      <c r="F918" s="4"/>
      <c r="G918" s="4"/>
      <c r="H918" s="4"/>
      <c r="I918" s="4"/>
    </row>
    <row r="919" ht="15.75" customHeight="1">
      <c r="A919" s="4"/>
      <c r="B919" s="4"/>
      <c r="C919" s="4"/>
      <c r="D919" s="4"/>
      <c r="E919" s="4"/>
      <c r="F919" s="4"/>
      <c r="G919" s="4"/>
      <c r="H919" s="4"/>
      <c r="I919" s="4"/>
    </row>
    <row r="920" ht="15.75" customHeight="1">
      <c r="A920" s="4"/>
      <c r="B920" s="4"/>
      <c r="C920" s="4"/>
      <c r="D920" s="4"/>
      <c r="E920" s="4"/>
      <c r="F920" s="4"/>
      <c r="G920" s="4"/>
      <c r="H920" s="4"/>
      <c r="I920" s="4"/>
    </row>
    <row r="921" ht="15.75" customHeight="1">
      <c r="A921" s="4"/>
      <c r="B921" s="4"/>
      <c r="C921" s="4"/>
      <c r="D921" s="4"/>
      <c r="E921" s="4"/>
      <c r="F921" s="4"/>
      <c r="G921" s="4"/>
      <c r="H921" s="4"/>
      <c r="I921" s="4"/>
    </row>
    <row r="922" ht="15.75" customHeight="1">
      <c r="A922" s="4"/>
      <c r="B922" s="4"/>
      <c r="C922" s="4"/>
      <c r="D922" s="4"/>
      <c r="E922" s="4"/>
      <c r="F922" s="4"/>
      <c r="G922" s="4"/>
      <c r="H922" s="4"/>
      <c r="I922" s="4"/>
    </row>
    <row r="923" ht="15.75" customHeight="1">
      <c r="A923" s="4"/>
      <c r="B923" s="4"/>
      <c r="C923" s="4"/>
      <c r="D923" s="4"/>
      <c r="E923" s="4"/>
      <c r="F923" s="4"/>
      <c r="G923" s="4"/>
      <c r="H923" s="4"/>
      <c r="I923" s="4"/>
    </row>
    <row r="924" ht="15.75" customHeight="1">
      <c r="A924" s="4"/>
      <c r="B924" s="4"/>
      <c r="C924" s="4"/>
      <c r="D924" s="4"/>
      <c r="E924" s="4"/>
      <c r="F924" s="4"/>
      <c r="G924" s="4"/>
      <c r="H924" s="4"/>
      <c r="I924" s="4"/>
    </row>
    <row r="925" ht="15.75" customHeight="1">
      <c r="A925" s="4"/>
      <c r="B925" s="4"/>
      <c r="C925" s="4"/>
      <c r="D925" s="4"/>
      <c r="E925" s="4"/>
      <c r="F925" s="4"/>
      <c r="G925" s="4"/>
      <c r="H925" s="4"/>
      <c r="I925" s="4"/>
    </row>
    <row r="926" ht="15.75" customHeight="1">
      <c r="A926" s="4"/>
      <c r="B926" s="4"/>
      <c r="C926" s="4"/>
      <c r="D926" s="4"/>
      <c r="E926" s="4"/>
      <c r="F926" s="4"/>
      <c r="G926" s="4"/>
      <c r="H926" s="4"/>
      <c r="I926" s="4"/>
    </row>
    <row r="927" ht="15.75" customHeight="1">
      <c r="A927" s="4"/>
      <c r="B927" s="4"/>
      <c r="C927" s="4"/>
      <c r="D927" s="4"/>
      <c r="E927" s="4"/>
      <c r="F927" s="4"/>
      <c r="G927" s="4"/>
      <c r="H927" s="4"/>
      <c r="I927" s="4"/>
    </row>
    <row r="928" ht="15.75" customHeight="1">
      <c r="A928" s="4"/>
      <c r="B928" s="4"/>
      <c r="C928" s="4"/>
      <c r="D928" s="4"/>
      <c r="E928" s="4"/>
      <c r="F928" s="4"/>
      <c r="G928" s="4"/>
      <c r="H928" s="4"/>
      <c r="I928" s="4"/>
    </row>
    <row r="929" ht="15.75" customHeight="1">
      <c r="A929" s="4"/>
      <c r="B929" s="4"/>
      <c r="C929" s="4"/>
      <c r="D929" s="4"/>
      <c r="E929" s="4"/>
      <c r="F929" s="4"/>
      <c r="G929" s="4"/>
      <c r="H929" s="4"/>
      <c r="I929" s="4"/>
    </row>
    <row r="930" ht="15.75" customHeight="1">
      <c r="A930" s="4"/>
      <c r="B930" s="4"/>
      <c r="C930" s="4"/>
      <c r="D930" s="4"/>
      <c r="E930" s="4"/>
      <c r="F930" s="4"/>
      <c r="G930" s="4"/>
      <c r="H930" s="4"/>
      <c r="I930" s="4"/>
    </row>
    <row r="931" ht="15.75" customHeight="1">
      <c r="A931" s="4"/>
      <c r="B931" s="4"/>
      <c r="C931" s="4"/>
      <c r="D931" s="4"/>
      <c r="E931" s="4"/>
      <c r="F931" s="4"/>
      <c r="G931" s="4"/>
      <c r="H931" s="4"/>
      <c r="I931" s="4"/>
    </row>
    <row r="932" ht="15.75" customHeight="1">
      <c r="A932" s="4"/>
      <c r="B932" s="4"/>
      <c r="C932" s="4"/>
      <c r="D932" s="4"/>
      <c r="E932" s="4"/>
      <c r="F932" s="4"/>
      <c r="G932" s="4"/>
      <c r="H932" s="4"/>
      <c r="I932" s="4"/>
    </row>
    <row r="933" ht="15.75" customHeight="1">
      <c r="A933" s="4"/>
      <c r="B933" s="4"/>
      <c r="C933" s="4"/>
      <c r="D933" s="4"/>
      <c r="E933" s="4"/>
      <c r="F933" s="4"/>
      <c r="G933" s="4"/>
      <c r="H933" s="4"/>
      <c r="I933" s="4"/>
    </row>
    <row r="934" ht="15.75" customHeight="1">
      <c r="A934" s="4"/>
      <c r="B934" s="4"/>
      <c r="C934" s="4"/>
      <c r="D934" s="4"/>
      <c r="E934" s="4"/>
      <c r="F934" s="4"/>
      <c r="G934" s="4"/>
      <c r="H934" s="4"/>
      <c r="I934" s="4"/>
    </row>
    <row r="935" ht="15.75" customHeight="1">
      <c r="A935" s="4"/>
      <c r="B935" s="4"/>
      <c r="C935" s="4"/>
      <c r="D935" s="4"/>
      <c r="E935" s="4"/>
      <c r="F935" s="4"/>
      <c r="G935" s="4"/>
      <c r="H935" s="4"/>
      <c r="I935" s="4"/>
    </row>
    <row r="936" ht="15.75" customHeight="1">
      <c r="A936" s="4"/>
      <c r="B936" s="4"/>
      <c r="C936" s="4"/>
      <c r="D936" s="4"/>
      <c r="E936" s="4"/>
      <c r="F936" s="4"/>
      <c r="G936" s="4"/>
      <c r="H936" s="4"/>
      <c r="I936" s="4"/>
    </row>
    <row r="937" ht="15.75" customHeight="1">
      <c r="A937" s="4"/>
      <c r="B937" s="4"/>
      <c r="C937" s="4"/>
      <c r="D937" s="4"/>
      <c r="E937" s="4"/>
      <c r="F937" s="4"/>
      <c r="G937" s="4"/>
      <c r="H937" s="4"/>
      <c r="I937" s="4"/>
    </row>
    <row r="938" ht="15.75" customHeight="1">
      <c r="A938" s="4"/>
      <c r="B938" s="4"/>
      <c r="C938" s="4"/>
      <c r="D938" s="4"/>
      <c r="E938" s="4"/>
      <c r="F938" s="4"/>
      <c r="G938" s="4"/>
      <c r="H938" s="4"/>
      <c r="I938" s="4"/>
    </row>
    <row r="939" ht="15.75" customHeight="1">
      <c r="A939" s="4"/>
      <c r="B939" s="4"/>
      <c r="C939" s="4"/>
      <c r="D939" s="4"/>
      <c r="E939" s="4"/>
      <c r="F939" s="4"/>
      <c r="G939" s="4"/>
      <c r="H939" s="4"/>
      <c r="I939" s="4"/>
    </row>
    <row r="940" ht="15.75" customHeight="1">
      <c r="A940" s="4"/>
      <c r="B940" s="4"/>
      <c r="C940" s="4"/>
      <c r="D940" s="4"/>
      <c r="E940" s="4"/>
      <c r="F940" s="4"/>
      <c r="G940" s="4"/>
      <c r="H940" s="4"/>
      <c r="I940" s="4"/>
    </row>
    <row r="941" ht="15.75" customHeight="1">
      <c r="A941" s="4"/>
      <c r="B941" s="4"/>
      <c r="C941" s="4"/>
      <c r="D941" s="4"/>
      <c r="E941" s="4"/>
      <c r="F941" s="4"/>
      <c r="G941" s="4"/>
      <c r="H941" s="4"/>
      <c r="I941" s="4"/>
    </row>
    <row r="942" ht="15.75" customHeight="1">
      <c r="A942" s="4"/>
      <c r="B942" s="4"/>
      <c r="C942" s="4"/>
      <c r="D942" s="4"/>
      <c r="E942" s="4"/>
      <c r="F942" s="4"/>
      <c r="G942" s="4"/>
      <c r="H942" s="4"/>
      <c r="I942" s="4"/>
    </row>
    <row r="943" ht="15.75" customHeight="1">
      <c r="A943" s="4"/>
      <c r="B943" s="4"/>
      <c r="C943" s="4"/>
      <c r="D943" s="4"/>
      <c r="E943" s="4"/>
      <c r="F943" s="4"/>
      <c r="G943" s="4"/>
      <c r="H943" s="4"/>
      <c r="I943" s="4"/>
    </row>
    <row r="944" ht="15.75" customHeight="1">
      <c r="A944" s="4"/>
      <c r="B944" s="4"/>
      <c r="C944" s="4"/>
      <c r="D944" s="4"/>
      <c r="E944" s="4"/>
      <c r="F944" s="4"/>
      <c r="G944" s="4"/>
      <c r="H944" s="4"/>
      <c r="I944" s="4"/>
    </row>
    <row r="945" ht="15.75" customHeight="1">
      <c r="A945" s="4"/>
      <c r="B945" s="4"/>
      <c r="C945" s="4"/>
      <c r="D945" s="4"/>
      <c r="E945" s="4"/>
      <c r="F945" s="4"/>
      <c r="G945" s="4"/>
      <c r="H945" s="4"/>
      <c r="I945" s="4"/>
    </row>
    <row r="946" ht="15.75" customHeight="1">
      <c r="A946" s="4"/>
      <c r="B946" s="4"/>
      <c r="C946" s="4"/>
      <c r="D946" s="4"/>
      <c r="E946" s="4"/>
      <c r="F946" s="4"/>
      <c r="G946" s="4"/>
      <c r="H946" s="4"/>
      <c r="I946" s="4"/>
    </row>
    <row r="947" ht="15.75" customHeight="1">
      <c r="A947" s="4"/>
      <c r="B947" s="4"/>
      <c r="C947" s="4"/>
      <c r="D947" s="4"/>
      <c r="E947" s="4"/>
      <c r="F947" s="4"/>
      <c r="G947" s="4"/>
      <c r="H947" s="4"/>
      <c r="I947" s="4"/>
    </row>
    <row r="948" ht="15.75" customHeight="1">
      <c r="A948" s="4"/>
      <c r="B948" s="4"/>
      <c r="C948" s="4"/>
      <c r="D948" s="4"/>
      <c r="E948" s="4"/>
      <c r="F948" s="4"/>
      <c r="G948" s="4"/>
      <c r="H948" s="4"/>
      <c r="I948" s="4"/>
    </row>
    <row r="949" ht="15.75" customHeight="1">
      <c r="A949" s="4"/>
      <c r="B949" s="4"/>
      <c r="C949" s="4"/>
      <c r="D949" s="4"/>
      <c r="E949" s="4"/>
      <c r="F949" s="4"/>
      <c r="G949" s="4"/>
      <c r="H949" s="4"/>
      <c r="I949" s="4"/>
    </row>
    <row r="950" ht="15.75" customHeight="1">
      <c r="A950" s="4"/>
      <c r="B950" s="4"/>
      <c r="C950" s="4"/>
      <c r="D950" s="4"/>
      <c r="E950" s="4"/>
      <c r="F950" s="4"/>
      <c r="G950" s="4"/>
      <c r="H950" s="4"/>
      <c r="I950" s="4"/>
    </row>
    <row r="951" ht="15.75" customHeight="1">
      <c r="A951" s="4"/>
      <c r="B951" s="4"/>
      <c r="C951" s="4"/>
      <c r="D951" s="4"/>
      <c r="E951" s="4"/>
      <c r="F951" s="4"/>
      <c r="G951" s="4"/>
      <c r="H951" s="4"/>
      <c r="I951" s="4"/>
    </row>
    <row r="952" ht="15.75" customHeight="1">
      <c r="A952" s="4"/>
      <c r="B952" s="4"/>
      <c r="C952" s="4"/>
      <c r="D952" s="4"/>
      <c r="E952" s="4"/>
      <c r="F952" s="4"/>
      <c r="G952" s="4"/>
      <c r="H952" s="4"/>
      <c r="I952" s="4"/>
    </row>
    <row r="953" ht="15.75" customHeight="1">
      <c r="A953" s="4"/>
      <c r="B953" s="4"/>
      <c r="C953" s="4"/>
      <c r="D953" s="4"/>
      <c r="E953" s="4"/>
      <c r="F953" s="4"/>
      <c r="G953" s="4"/>
      <c r="H953" s="4"/>
      <c r="I953" s="4"/>
    </row>
    <row r="954" ht="15.75" customHeight="1">
      <c r="A954" s="4"/>
      <c r="B954" s="4"/>
      <c r="C954" s="4"/>
      <c r="D954" s="4"/>
      <c r="E954" s="4"/>
      <c r="F954" s="4"/>
      <c r="G954" s="4"/>
      <c r="H954" s="4"/>
      <c r="I954" s="4"/>
    </row>
    <row r="955" ht="15.75" customHeight="1">
      <c r="A955" s="4"/>
      <c r="B955" s="4"/>
      <c r="C955" s="4"/>
      <c r="D955" s="4"/>
      <c r="E955" s="4"/>
      <c r="F955" s="4"/>
      <c r="G955" s="4"/>
      <c r="H955" s="4"/>
      <c r="I955" s="4"/>
    </row>
    <row r="956" ht="15.75" customHeight="1">
      <c r="A956" s="4"/>
      <c r="B956" s="4"/>
      <c r="C956" s="4"/>
      <c r="D956" s="4"/>
      <c r="E956" s="4"/>
      <c r="F956" s="4"/>
      <c r="G956" s="4"/>
      <c r="H956" s="4"/>
      <c r="I956" s="4"/>
    </row>
    <row r="957" ht="15.75" customHeight="1">
      <c r="A957" s="4"/>
      <c r="B957" s="4"/>
      <c r="C957" s="4"/>
      <c r="D957" s="4"/>
      <c r="E957" s="4"/>
      <c r="F957" s="4"/>
      <c r="G957" s="4"/>
      <c r="H957" s="4"/>
      <c r="I957" s="4"/>
    </row>
    <row r="958" ht="15.75" customHeight="1">
      <c r="A958" s="4"/>
      <c r="B958" s="4"/>
      <c r="C958" s="4"/>
      <c r="D958" s="4"/>
      <c r="E958" s="4"/>
      <c r="F958" s="4"/>
      <c r="G958" s="4"/>
      <c r="H958" s="4"/>
      <c r="I958" s="4"/>
    </row>
    <row r="959" ht="15.75" customHeight="1">
      <c r="A959" s="4"/>
      <c r="B959" s="4"/>
      <c r="C959" s="4"/>
      <c r="D959" s="4"/>
      <c r="E959" s="4"/>
      <c r="F959" s="4"/>
      <c r="G959" s="4"/>
      <c r="H959" s="4"/>
      <c r="I959" s="4"/>
    </row>
    <row r="960" ht="15.75" customHeight="1">
      <c r="A960" s="4"/>
      <c r="B960" s="4"/>
      <c r="C960" s="4"/>
      <c r="D960" s="4"/>
      <c r="E960" s="4"/>
      <c r="F960" s="4"/>
      <c r="G960" s="4"/>
      <c r="H960" s="4"/>
      <c r="I960" s="4"/>
    </row>
    <row r="961" ht="15.75" customHeight="1">
      <c r="A961" s="4"/>
      <c r="B961" s="4"/>
      <c r="C961" s="4"/>
      <c r="D961" s="4"/>
      <c r="E961" s="4"/>
      <c r="F961" s="4"/>
      <c r="G961" s="4"/>
      <c r="H961" s="4"/>
      <c r="I961" s="4"/>
    </row>
    <row r="962" ht="15.75" customHeight="1">
      <c r="A962" s="4"/>
      <c r="B962" s="4"/>
      <c r="C962" s="4"/>
      <c r="D962" s="4"/>
      <c r="E962" s="4"/>
      <c r="F962" s="4"/>
      <c r="G962" s="4"/>
      <c r="H962" s="4"/>
      <c r="I962" s="4"/>
    </row>
    <row r="963" ht="15.75" customHeight="1">
      <c r="A963" s="4"/>
      <c r="B963" s="4"/>
      <c r="C963" s="4"/>
      <c r="D963" s="4"/>
      <c r="E963" s="4"/>
      <c r="F963" s="4"/>
      <c r="G963" s="4"/>
      <c r="H963" s="4"/>
      <c r="I963" s="4"/>
    </row>
    <row r="964" ht="15.75" customHeight="1">
      <c r="A964" s="4"/>
      <c r="B964" s="4"/>
      <c r="C964" s="4"/>
      <c r="D964" s="4"/>
      <c r="E964" s="4"/>
      <c r="F964" s="4"/>
      <c r="G964" s="4"/>
      <c r="H964" s="4"/>
      <c r="I964" s="4"/>
    </row>
    <row r="965" ht="15.75" customHeight="1">
      <c r="A965" s="4"/>
      <c r="B965" s="4"/>
      <c r="C965" s="4"/>
      <c r="D965" s="4"/>
      <c r="E965" s="4"/>
      <c r="F965" s="4"/>
      <c r="G965" s="4"/>
      <c r="H965" s="4"/>
      <c r="I965" s="4"/>
    </row>
    <row r="966" ht="15.75" customHeight="1">
      <c r="A966" s="4"/>
      <c r="B966" s="4"/>
      <c r="C966" s="4"/>
      <c r="D966" s="4"/>
      <c r="E966" s="4"/>
      <c r="F966" s="4"/>
      <c r="G966" s="4"/>
      <c r="H966" s="4"/>
      <c r="I966" s="4"/>
    </row>
    <row r="967" ht="15.75" customHeight="1">
      <c r="A967" s="4"/>
      <c r="B967" s="4"/>
      <c r="C967" s="4"/>
      <c r="D967" s="4"/>
      <c r="E967" s="4"/>
      <c r="F967" s="4"/>
      <c r="G967" s="4"/>
      <c r="H967" s="4"/>
      <c r="I967" s="4"/>
    </row>
    <row r="968" ht="15.75" customHeight="1">
      <c r="A968" s="4"/>
      <c r="B968" s="4"/>
      <c r="C968" s="4"/>
      <c r="D968" s="4"/>
      <c r="E968" s="4"/>
      <c r="F968" s="4"/>
      <c r="G968" s="4"/>
      <c r="H968" s="4"/>
      <c r="I968" s="4"/>
    </row>
    <row r="969" ht="15.75" customHeight="1">
      <c r="A969" s="4"/>
      <c r="B969" s="4"/>
      <c r="C969" s="4"/>
      <c r="D969" s="4"/>
      <c r="E969" s="4"/>
      <c r="F969" s="4"/>
      <c r="G969" s="4"/>
      <c r="H969" s="4"/>
      <c r="I969" s="4"/>
    </row>
    <row r="970" ht="15.75" customHeight="1">
      <c r="A970" s="4"/>
      <c r="B970" s="4"/>
      <c r="C970" s="4"/>
      <c r="D970" s="4"/>
      <c r="E970" s="4"/>
      <c r="F970" s="4"/>
      <c r="G970" s="4"/>
      <c r="H970" s="4"/>
      <c r="I970" s="4"/>
    </row>
    <row r="971" ht="15.75" customHeight="1">
      <c r="A971" s="4"/>
      <c r="B971" s="4"/>
      <c r="C971" s="4"/>
      <c r="D971" s="4"/>
      <c r="E971" s="4"/>
      <c r="F971" s="4"/>
      <c r="G971" s="4"/>
      <c r="H971" s="4"/>
      <c r="I971" s="4"/>
    </row>
    <row r="972" ht="15.75" customHeight="1">
      <c r="A972" s="4"/>
      <c r="B972" s="4"/>
      <c r="C972" s="4"/>
      <c r="D972" s="4"/>
      <c r="E972" s="4"/>
      <c r="F972" s="4"/>
      <c r="G972" s="4"/>
      <c r="H972" s="4"/>
      <c r="I972" s="4"/>
    </row>
    <row r="973" ht="15.75" customHeight="1">
      <c r="A973" s="4"/>
      <c r="B973" s="4"/>
      <c r="C973" s="4"/>
      <c r="D973" s="4"/>
      <c r="E973" s="4"/>
      <c r="F973" s="4"/>
      <c r="G973" s="4"/>
      <c r="H973" s="4"/>
      <c r="I973" s="4"/>
    </row>
    <row r="974" ht="15.75" customHeight="1">
      <c r="A974" s="4"/>
      <c r="B974" s="4"/>
      <c r="C974" s="4"/>
      <c r="D974" s="4"/>
      <c r="E974" s="4"/>
      <c r="F974" s="4"/>
      <c r="G974" s="4"/>
      <c r="H974" s="4"/>
      <c r="I974" s="4"/>
    </row>
    <row r="975" ht="15.75" customHeight="1">
      <c r="A975" s="4"/>
      <c r="B975" s="4"/>
      <c r="C975" s="4"/>
      <c r="D975" s="4"/>
      <c r="E975" s="4"/>
      <c r="F975" s="4"/>
      <c r="G975" s="4"/>
      <c r="H975" s="4"/>
      <c r="I975" s="4"/>
    </row>
    <row r="976" ht="15.75" customHeight="1">
      <c r="A976" s="4"/>
      <c r="B976" s="4"/>
      <c r="C976" s="4"/>
      <c r="D976" s="4"/>
      <c r="E976" s="4"/>
      <c r="F976" s="4"/>
      <c r="G976" s="4"/>
      <c r="H976" s="4"/>
      <c r="I976" s="4"/>
    </row>
    <row r="977" ht="15.75" customHeight="1">
      <c r="A977" s="4"/>
      <c r="B977" s="4"/>
      <c r="C977" s="4"/>
      <c r="D977" s="4"/>
      <c r="E977" s="4"/>
      <c r="F977" s="4"/>
      <c r="G977" s="4"/>
      <c r="H977" s="4"/>
      <c r="I977" s="4"/>
    </row>
    <row r="978" ht="15.75" customHeight="1">
      <c r="A978" s="4"/>
      <c r="B978" s="4"/>
      <c r="C978" s="4"/>
      <c r="D978" s="4"/>
      <c r="E978" s="4"/>
      <c r="F978" s="4"/>
      <c r="G978" s="4"/>
      <c r="H978" s="4"/>
      <c r="I978" s="4"/>
    </row>
    <row r="979" ht="15.75" customHeight="1">
      <c r="A979" s="4"/>
      <c r="B979" s="4"/>
      <c r="C979" s="4"/>
      <c r="D979" s="4"/>
      <c r="E979" s="4"/>
      <c r="F979" s="4"/>
      <c r="G979" s="4"/>
      <c r="H979" s="4"/>
      <c r="I979" s="4"/>
    </row>
    <row r="980" ht="15.75" customHeight="1">
      <c r="A980" s="4"/>
      <c r="B980" s="4"/>
      <c r="C980" s="4"/>
      <c r="D980" s="4"/>
      <c r="E980" s="4"/>
      <c r="F980" s="4"/>
      <c r="G980" s="4"/>
      <c r="H980" s="4"/>
      <c r="I980" s="4"/>
    </row>
    <row r="981" ht="15.75" customHeight="1">
      <c r="A981" s="4"/>
      <c r="B981" s="4"/>
      <c r="C981" s="4"/>
      <c r="D981" s="4"/>
      <c r="E981" s="4"/>
      <c r="F981" s="4"/>
      <c r="G981" s="4"/>
      <c r="H981" s="4"/>
      <c r="I981" s="4"/>
    </row>
    <row r="982" ht="15.75" customHeight="1">
      <c r="A982" s="4"/>
      <c r="B982" s="4"/>
      <c r="C982" s="4"/>
      <c r="D982" s="4"/>
      <c r="E982" s="4"/>
      <c r="F982" s="4"/>
      <c r="G982" s="4"/>
      <c r="H982" s="4"/>
      <c r="I982" s="4"/>
    </row>
    <row r="983" ht="15.75" customHeight="1">
      <c r="A983" s="4"/>
      <c r="B983" s="4"/>
      <c r="C983" s="4"/>
      <c r="D983" s="4"/>
      <c r="E983" s="4"/>
      <c r="F983" s="4"/>
      <c r="G983" s="4"/>
      <c r="H983" s="4"/>
      <c r="I983" s="4"/>
    </row>
    <row r="984" ht="15.75" customHeight="1">
      <c r="A984" s="4"/>
      <c r="B984" s="4"/>
      <c r="C984" s="4"/>
      <c r="D984" s="4"/>
      <c r="E984" s="4"/>
      <c r="F984" s="4"/>
      <c r="G984" s="4"/>
      <c r="H984" s="4"/>
      <c r="I984" s="4"/>
    </row>
    <row r="985" ht="15.75" customHeight="1">
      <c r="A985" s="4"/>
      <c r="B985" s="4"/>
      <c r="C985" s="4"/>
      <c r="D985" s="4"/>
      <c r="E985" s="4"/>
      <c r="F985" s="4"/>
      <c r="G985" s="4"/>
      <c r="H985" s="4"/>
      <c r="I985" s="4"/>
    </row>
    <row r="986" ht="15.75" customHeight="1">
      <c r="A986" s="4"/>
      <c r="B986" s="4"/>
      <c r="C986" s="4"/>
      <c r="D986" s="4"/>
      <c r="E986" s="4"/>
      <c r="F986" s="4"/>
      <c r="G986" s="4"/>
      <c r="H986" s="4"/>
      <c r="I986" s="4"/>
    </row>
    <row r="987" ht="15.75" customHeight="1">
      <c r="A987" s="4"/>
      <c r="B987" s="4"/>
      <c r="C987" s="4"/>
      <c r="D987" s="4"/>
      <c r="E987" s="4"/>
      <c r="F987" s="4"/>
      <c r="G987" s="4"/>
      <c r="H987" s="4"/>
      <c r="I987" s="4"/>
    </row>
    <row r="988" ht="15.75" customHeight="1">
      <c r="A988" s="4"/>
      <c r="B988" s="4"/>
      <c r="C988" s="4"/>
      <c r="D988" s="4"/>
      <c r="E988" s="4"/>
      <c r="F988" s="4"/>
      <c r="G988" s="4"/>
      <c r="H988" s="4"/>
      <c r="I988" s="4"/>
    </row>
    <row r="989" ht="15.75" customHeight="1">
      <c r="A989" s="4"/>
      <c r="B989" s="4"/>
      <c r="C989" s="4"/>
      <c r="D989" s="4"/>
      <c r="E989" s="4"/>
      <c r="F989" s="4"/>
      <c r="G989" s="4"/>
      <c r="H989" s="4"/>
      <c r="I989" s="4"/>
    </row>
    <row r="990" ht="15.75" customHeight="1">
      <c r="A990" s="4"/>
      <c r="B990" s="4"/>
      <c r="C990" s="4"/>
      <c r="D990" s="4"/>
      <c r="E990" s="4"/>
      <c r="F990" s="4"/>
      <c r="G990" s="4"/>
      <c r="H990" s="4"/>
      <c r="I990" s="4"/>
    </row>
    <row r="991" ht="15.75" customHeight="1">
      <c r="A991" s="4"/>
      <c r="B991" s="4"/>
      <c r="C991" s="4"/>
      <c r="D991" s="4"/>
      <c r="E991" s="4"/>
      <c r="F991" s="4"/>
      <c r="G991" s="4"/>
      <c r="H991" s="4"/>
      <c r="I991" s="4"/>
    </row>
    <row r="992" ht="15.75" customHeight="1">
      <c r="A992" s="4"/>
      <c r="B992" s="4"/>
      <c r="C992" s="4"/>
      <c r="D992" s="4"/>
      <c r="E992" s="4"/>
      <c r="F992" s="4"/>
      <c r="G992" s="4"/>
      <c r="H992" s="4"/>
      <c r="I992" s="4"/>
    </row>
    <row r="993" ht="15.75" customHeight="1">
      <c r="A993" s="4"/>
      <c r="B993" s="4"/>
      <c r="C993" s="4"/>
      <c r="D993" s="4"/>
      <c r="E993" s="4"/>
      <c r="F993" s="4"/>
      <c r="G993" s="4"/>
      <c r="H993" s="4"/>
      <c r="I993" s="4"/>
    </row>
    <row r="994" ht="15.75" customHeight="1">
      <c r="A994" s="4"/>
      <c r="B994" s="4"/>
      <c r="C994" s="4"/>
      <c r="D994" s="4"/>
      <c r="E994" s="4"/>
      <c r="F994" s="4"/>
      <c r="G994" s="4"/>
      <c r="H994" s="4"/>
      <c r="I994" s="4"/>
    </row>
    <row r="995" ht="15.75" customHeight="1">
      <c r="A995" s="4"/>
      <c r="B995" s="4"/>
      <c r="C995" s="4"/>
      <c r="D995" s="4"/>
      <c r="E995" s="4"/>
      <c r="F995" s="4"/>
      <c r="G995" s="4"/>
      <c r="H995" s="4"/>
      <c r="I995" s="4"/>
    </row>
    <row r="996" ht="15.75" customHeight="1">
      <c r="A996" s="4"/>
      <c r="B996" s="4"/>
      <c r="C996" s="4"/>
      <c r="D996" s="4"/>
      <c r="E996" s="4"/>
      <c r="F996" s="4"/>
      <c r="G996" s="4"/>
      <c r="H996" s="4"/>
      <c r="I996" s="4"/>
    </row>
    <row r="997" ht="15.75" customHeight="1">
      <c r="A997" s="4"/>
      <c r="B997" s="4"/>
      <c r="C997" s="4"/>
      <c r="D997" s="4"/>
      <c r="E997" s="4"/>
      <c r="F997" s="4"/>
      <c r="G997" s="4"/>
      <c r="H997" s="4"/>
      <c r="I997" s="4"/>
    </row>
    <row r="998" ht="15.75" customHeight="1">
      <c r="A998" s="4"/>
      <c r="B998" s="4"/>
      <c r="C998" s="4"/>
      <c r="D998" s="4"/>
      <c r="E998" s="4"/>
      <c r="F998" s="4"/>
      <c r="G998" s="4"/>
      <c r="H998" s="4"/>
      <c r="I998" s="4"/>
    </row>
    <row r="999" ht="15.75" customHeight="1">
      <c r="A999" s="4"/>
      <c r="B999" s="4"/>
      <c r="C999" s="4"/>
      <c r="D999" s="4"/>
      <c r="E999" s="4"/>
      <c r="F999" s="4"/>
      <c r="G999" s="4"/>
      <c r="H999" s="4"/>
      <c r="I999" s="4"/>
    </row>
    <row r="1000" ht="15.75" customHeight="1">
      <c r="A1000" s="4"/>
      <c r="B1000" s="4"/>
      <c r="C1000" s="4"/>
      <c r="D1000" s="4"/>
      <c r="E1000" s="4"/>
      <c r="F1000" s="4"/>
      <c r="G1000" s="4"/>
      <c r="H1000" s="4"/>
      <c r="I1000" s="4"/>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5.0"/>
    <col customWidth="1" min="3" max="3" width="130.0"/>
    <col customWidth="1" min="4" max="6" width="8.71"/>
  </cols>
  <sheetData>
    <row r="1" ht="33.75" customHeight="1">
      <c r="A1" s="2" t="s">
        <v>1008</v>
      </c>
      <c r="B1" s="2" t="s">
        <v>1009</v>
      </c>
      <c r="C1" s="2" t="s">
        <v>1011</v>
      </c>
      <c r="D1" s="4"/>
      <c r="E1" s="4"/>
      <c r="F1" s="4"/>
    </row>
    <row r="2" ht="36.0" customHeight="1">
      <c r="A2" s="9" t="s">
        <v>1017</v>
      </c>
      <c r="B2" s="38">
        <v>46301.0</v>
      </c>
      <c r="C2" s="6" t="s">
        <v>1039</v>
      </c>
      <c r="D2" s="4"/>
      <c r="E2" s="4"/>
      <c r="F2" s="4"/>
    </row>
    <row r="3" ht="51.0" customHeight="1">
      <c r="A3" s="9" t="s">
        <v>1017</v>
      </c>
      <c r="B3" s="38">
        <v>46301.0</v>
      </c>
      <c r="C3" s="6" t="s">
        <v>1047</v>
      </c>
      <c r="D3" s="4"/>
      <c r="E3" s="4"/>
      <c r="F3" s="4"/>
    </row>
    <row r="4" ht="51.0" customHeight="1">
      <c r="A4" s="9" t="s">
        <v>1017</v>
      </c>
      <c r="B4" s="38">
        <v>46301.0</v>
      </c>
      <c r="C4" s="6" t="s">
        <v>1052</v>
      </c>
      <c r="D4" s="4"/>
      <c r="E4" s="4"/>
      <c r="F4" s="4"/>
    </row>
    <row r="5" ht="51.0" customHeight="1">
      <c r="A5" s="9" t="s">
        <v>1017</v>
      </c>
      <c r="B5" s="38">
        <v>46301.0</v>
      </c>
      <c r="C5" s="6" t="s">
        <v>1058</v>
      </c>
      <c r="D5" s="4"/>
      <c r="E5" s="4"/>
      <c r="F5" s="4"/>
    </row>
    <row r="6" ht="36.0" customHeight="1">
      <c r="A6" s="9" t="s">
        <v>1017</v>
      </c>
      <c r="B6" s="38">
        <v>46301.0</v>
      </c>
      <c r="C6" s="6" t="s">
        <v>1064</v>
      </c>
      <c r="D6" s="4"/>
      <c r="E6" s="4"/>
      <c r="F6" s="4"/>
    </row>
    <row r="7" ht="51.0" customHeight="1">
      <c r="A7" s="9" t="s">
        <v>1017</v>
      </c>
      <c r="B7" s="38">
        <v>46301.0</v>
      </c>
      <c r="C7" s="6" t="s">
        <v>1068</v>
      </c>
      <c r="D7" s="4"/>
      <c r="E7" s="4"/>
      <c r="F7" s="4"/>
    </row>
    <row r="8" ht="42.0" customHeight="1">
      <c r="A8" s="9" t="s">
        <v>1071</v>
      </c>
      <c r="B8" s="38">
        <v>46301.0</v>
      </c>
      <c r="C8" s="6" t="s">
        <v>1074</v>
      </c>
      <c r="D8" s="4"/>
      <c r="E8" s="4"/>
      <c r="F8" s="4"/>
    </row>
    <row r="9" ht="42.0" customHeight="1">
      <c r="A9" s="9" t="s">
        <v>1071</v>
      </c>
      <c r="B9" s="38">
        <v>46301.0</v>
      </c>
      <c r="C9" s="6" t="s">
        <v>1080</v>
      </c>
      <c r="D9" s="4"/>
      <c r="E9" s="4"/>
      <c r="F9" s="4"/>
    </row>
    <row r="10" ht="42.0" customHeight="1">
      <c r="A10" s="9" t="s">
        <v>1071</v>
      </c>
      <c r="B10" s="38">
        <v>46301.0</v>
      </c>
      <c r="C10" s="6" t="s">
        <v>1085</v>
      </c>
      <c r="D10" s="4"/>
      <c r="E10" s="4"/>
      <c r="F10" s="4"/>
    </row>
    <row r="11" ht="42.0" customHeight="1">
      <c r="A11" s="9" t="s">
        <v>1071</v>
      </c>
      <c r="B11" s="38">
        <v>46301.0</v>
      </c>
      <c r="C11" s="6" t="s">
        <v>1091</v>
      </c>
      <c r="D11" s="4"/>
      <c r="E11" s="4"/>
      <c r="F11" s="4"/>
    </row>
    <row r="12" ht="42.0" customHeight="1">
      <c r="A12" s="9" t="s">
        <v>1071</v>
      </c>
      <c r="B12" s="38">
        <v>46301.0</v>
      </c>
      <c r="C12" s="6" t="s">
        <v>1097</v>
      </c>
      <c r="D12" s="4"/>
      <c r="E12" s="4"/>
      <c r="F12" s="4"/>
    </row>
    <row r="13" ht="42.0" customHeight="1">
      <c r="A13" s="9" t="s">
        <v>1071</v>
      </c>
      <c r="B13" s="38">
        <v>46301.0</v>
      </c>
      <c r="C13" s="6" t="s">
        <v>1102</v>
      </c>
      <c r="D13" s="4"/>
      <c r="E13" s="4"/>
      <c r="F13" s="4"/>
    </row>
    <row r="14" ht="42.0" customHeight="1">
      <c r="A14" s="9" t="s">
        <v>1071</v>
      </c>
      <c r="B14" s="38">
        <v>46301.0</v>
      </c>
      <c r="C14" s="6" t="s">
        <v>1106</v>
      </c>
      <c r="D14" s="4"/>
      <c r="E14" s="4"/>
      <c r="F14" s="4"/>
    </row>
    <row r="15" ht="42.0" customHeight="1">
      <c r="A15" s="9" t="s">
        <v>1071</v>
      </c>
      <c r="B15" s="38">
        <v>46301.0</v>
      </c>
      <c r="C15" s="6" t="s">
        <v>1111</v>
      </c>
      <c r="D15" s="4"/>
      <c r="E15" s="4"/>
      <c r="F15" s="4"/>
    </row>
    <row r="16" ht="42.0" customHeight="1">
      <c r="A16" s="9" t="s">
        <v>1071</v>
      </c>
      <c r="B16" s="38">
        <v>46301.0</v>
      </c>
      <c r="C16" s="6" t="s">
        <v>1116</v>
      </c>
      <c r="D16" s="4"/>
      <c r="E16" s="4"/>
      <c r="F16" s="4"/>
    </row>
    <row r="17" ht="42.0" customHeight="1">
      <c r="A17" s="9" t="s">
        <v>1071</v>
      </c>
      <c r="B17" s="38">
        <v>46301.0</v>
      </c>
      <c r="C17" s="6" t="s">
        <v>1121</v>
      </c>
      <c r="D17" s="4"/>
      <c r="E17" s="4"/>
      <c r="F17" s="4"/>
    </row>
    <row r="18" ht="42.0" customHeight="1">
      <c r="A18" s="9" t="s">
        <v>1125</v>
      </c>
      <c r="B18" s="38">
        <v>46301.0</v>
      </c>
      <c r="C18" s="6" t="s">
        <v>1128</v>
      </c>
      <c r="D18" s="4"/>
      <c r="E18" s="4"/>
      <c r="F18" s="4"/>
    </row>
    <row r="19" ht="42.0" customHeight="1">
      <c r="A19" s="9" t="s">
        <v>1125</v>
      </c>
      <c r="B19" s="38">
        <v>46301.0</v>
      </c>
      <c r="C19" s="6" t="s">
        <v>1133</v>
      </c>
      <c r="D19" s="4"/>
      <c r="E19" s="4"/>
      <c r="F19" s="4"/>
    </row>
    <row r="20" ht="42.0" customHeight="1">
      <c r="A20" s="9" t="s">
        <v>1125</v>
      </c>
      <c r="B20" s="38">
        <v>46301.0</v>
      </c>
      <c r="C20" s="6" t="s">
        <v>1140</v>
      </c>
      <c r="D20" s="4"/>
      <c r="E20" s="4"/>
      <c r="F20" s="4"/>
    </row>
    <row r="21" ht="42.0" customHeight="1">
      <c r="A21" s="9" t="s">
        <v>1125</v>
      </c>
      <c r="B21" s="38">
        <v>46301.0</v>
      </c>
      <c r="C21" s="6" t="s">
        <v>1146</v>
      </c>
      <c r="D21" s="4"/>
      <c r="E21" s="4"/>
      <c r="F21" s="4"/>
    </row>
    <row r="22" ht="42.0" customHeight="1">
      <c r="A22" s="9" t="s">
        <v>1125</v>
      </c>
      <c r="B22" s="38">
        <v>46301.0</v>
      </c>
      <c r="C22" s="6" t="s">
        <v>1152</v>
      </c>
      <c r="D22" s="4"/>
      <c r="E22" s="4"/>
      <c r="F22" s="4"/>
    </row>
    <row r="23" ht="42.0" customHeight="1">
      <c r="A23" s="9" t="s">
        <v>1125</v>
      </c>
      <c r="B23" s="38">
        <v>46301.0</v>
      </c>
      <c r="C23" s="6" t="s">
        <v>1156</v>
      </c>
      <c r="D23" s="4"/>
      <c r="E23" s="4"/>
      <c r="F23" s="4"/>
    </row>
    <row r="24" ht="42.0" customHeight="1">
      <c r="A24" s="9" t="s">
        <v>1125</v>
      </c>
      <c r="B24" s="38">
        <v>46301.0</v>
      </c>
      <c r="C24" s="6" t="s">
        <v>1160</v>
      </c>
      <c r="D24" s="4"/>
      <c r="E24" s="4"/>
      <c r="F24" s="4"/>
    </row>
    <row r="25" ht="42.0" customHeight="1">
      <c r="A25" s="9" t="s">
        <v>1125</v>
      </c>
      <c r="B25" s="38">
        <v>46301.0</v>
      </c>
      <c r="C25" s="6" t="s">
        <v>1165</v>
      </c>
      <c r="D25" s="4"/>
      <c r="E25" s="4"/>
      <c r="F25" s="4"/>
    </row>
    <row r="26" ht="42.0" customHeight="1">
      <c r="A26" s="9" t="s">
        <v>1125</v>
      </c>
      <c r="B26" s="38">
        <v>46301.0</v>
      </c>
      <c r="C26" s="6" t="s">
        <v>1168</v>
      </c>
      <c r="D26" s="4"/>
      <c r="E26" s="4"/>
      <c r="F26" s="4"/>
    </row>
    <row r="27" ht="42.0" customHeight="1">
      <c r="A27" s="9" t="s">
        <v>1125</v>
      </c>
      <c r="B27" s="38">
        <v>46301.0</v>
      </c>
      <c r="C27" s="6" t="s">
        <v>1172</v>
      </c>
      <c r="D27" s="4"/>
      <c r="E27" s="4"/>
      <c r="F27" s="4"/>
    </row>
    <row r="28" ht="42.0" customHeight="1">
      <c r="A28" s="9" t="s">
        <v>1175</v>
      </c>
      <c r="B28" s="38">
        <v>46300.0</v>
      </c>
      <c r="C28" s="6" t="s">
        <v>1177</v>
      </c>
      <c r="D28" s="4"/>
      <c r="E28" s="4"/>
      <c r="F28" s="4"/>
    </row>
    <row r="29" ht="42.0" customHeight="1">
      <c r="A29" s="9" t="s">
        <v>1175</v>
      </c>
      <c r="B29" s="38">
        <v>46300.0</v>
      </c>
      <c r="C29" s="6" t="s">
        <v>1181</v>
      </c>
      <c r="D29" s="4"/>
      <c r="E29" s="4"/>
      <c r="F29" s="4"/>
    </row>
    <row r="30" ht="42.0" customHeight="1">
      <c r="A30" s="9" t="s">
        <v>1175</v>
      </c>
      <c r="B30" s="38">
        <v>46300.0</v>
      </c>
      <c r="C30" s="6" t="s">
        <v>1184</v>
      </c>
      <c r="D30" s="4"/>
      <c r="E30" s="4"/>
      <c r="F30" s="4"/>
    </row>
    <row r="31" ht="42.0" customHeight="1">
      <c r="A31" s="9" t="s">
        <v>1175</v>
      </c>
      <c r="B31" s="38">
        <v>46300.0</v>
      </c>
      <c r="C31" s="6" t="s">
        <v>1188</v>
      </c>
      <c r="D31" s="4"/>
      <c r="E31" s="4"/>
      <c r="F31" s="4"/>
    </row>
    <row r="32" ht="42.0" customHeight="1">
      <c r="A32" s="9" t="s">
        <v>1175</v>
      </c>
      <c r="B32" s="38">
        <v>46300.0</v>
      </c>
      <c r="C32" s="6" t="s">
        <v>1191</v>
      </c>
      <c r="D32" s="4"/>
      <c r="E32" s="4"/>
      <c r="F32" s="4"/>
    </row>
    <row r="33" ht="42.0" customHeight="1">
      <c r="A33" s="9" t="s">
        <v>1175</v>
      </c>
      <c r="B33" s="38">
        <v>46300.0</v>
      </c>
      <c r="C33" s="6" t="s">
        <v>1192</v>
      </c>
      <c r="D33" s="4"/>
      <c r="E33" s="4"/>
      <c r="F33" s="4"/>
    </row>
    <row r="34" ht="42.0" customHeight="1">
      <c r="A34" s="9" t="s">
        <v>1175</v>
      </c>
      <c r="B34" s="38">
        <v>46300.0</v>
      </c>
      <c r="C34" s="6" t="s">
        <v>1195</v>
      </c>
      <c r="D34" s="4"/>
      <c r="E34" s="4"/>
      <c r="F34" s="4"/>
    </row>
    <row r="35" ht="42.0" customHeight="1">
      <c r="A35" s="9" t="s">
        <v>1175</v>
      </c>
      <c r="B35" s="38">
        <v>46300.0</v>
      </c>
      <c r="C35" s="6" t="s">
        <v>1196</v>
      </c>
      <c r="D35" s="4"/>
      <c r="E35" s="4"/>
      <c r="F35" s="4"/>
    </row>
    <row r="36" ht="42.0" customHeight="1">
      <c r="A36" s="9" t="s">
        <v>1175</v>
      </c>
      <c r="B36" s="38">
        <v>46300.0</v>
      </c>
      <c r="C36" s="6" t="s">
        <v>1197</v>
      </c>
      <c r="D36" s="4"/>
      <c r="E36" s="4"/>
      <c r="F36" s="4"/>
    </row>
    <row r="37" ht="42.0" customHeight="1">
      <c r="A37" s="9" t="s">
        <v>1175</v>
      </c>
      <c r="B37" s="38">
        <v>46300.0</v>
      </c>
      <c r="C37" s="6" t="s">
        <v>1198</v>
      </c>
      <c r="D37" s="4"/>
      <c r="E37" s="4"/>
      <c r="F37" s="4"/>
    </row>
    <row r="38" ht="42.0" customHeight="1">
      <c r="A38" s="9" t="s">
        <v>1175</v>
      </c>
      <c r="B38" s="38">
        <v>46300.0</v>
      </c>
      <c r="C38" s="6" t="s">
        <v>1199</v>
      </c>
      <c r="D38" s="4"/>
      <c r="E38" s="4"/>
      <c r="F38" s="4"/>
    </row>
    <row r="39" ht="42.0" customHeight="1">
      <c r="A39" s="9" t="s">
        <v>1175</v>
      </c>
      <c r="B39" s="38">
        <v>46300.0</v>
      </c>
      <c r="C39" s="6" t="s">
        <v>1200</v>
      </c>
      <c r="D39" s="4"/>
      <c r="E39" s="4"/>
      <c r="F39" s="4"/>
    </row>
    <row r="40" ht="42.0" customHeight="1">
      <c r="A40" s="9" t="s">
        <v>1201</v>
      </c>
      <c r="B40" s="38">
        <v>46296.0</v>
      </c>
      <c r="C40" s="6" t="s">
        <v>1202</v>
      </c>
      <c r="D40" s="4"/>
      <c r="E40" s="4"/>
      <c r="F40" s="4"/>
    </row>
    <row r="41" ht="72.0" customHeight="1">
      <c r="A41" s="9" t="s">
        <v>1201</v>
      </c>
      <c r="B41" s="38">
        <v>46296.0</v>
      </c>
      <c r="C41" s="6" t="s">
        <v>1203</v>
      </c>
      <c r="D41" s="4"/>
      <c r="E41" s="4"/>
      <c r="F41" s="4"/>
    </row>
    <row r="42" ht="72.0" customHeight="1">
      <c r="A42" s="9" t="s">
        <v>1201</v>
      </c>
      <c r="B42" s="38">
        <v>46296.0</v>
      </c>
      <c r="C42" s="6" t="s">
        <v>1204</v>
      </c>
      <c r="D42" s="4"/>
      <c r="E42" s="4"/>
      <c r="F42" s="4"/>
    </row>
    <row r="43" ht="57.0" customHeight="1">
      <c r="A43" s="9" t="s">
        <v>1201</v>
      </c>
      <c r="B43" s="38">
        <v>46296.0</v>
      </c>
      <c r="C43" s="6" t="s">
        <v>1205</v>
      </c>
      <c r="D43" s="4"/>
      <c r="E43" s="4"/>
      <c r="F43" s="4"/>
    </row>
    <row r="44" ht="42.0" customHeight="1">
      <c r="A44" s="9" t="s">
        <v>1201</v>
      </c>
      <c r="B44" s="38">
        <v>46296.0</v>
      </c>
      <c r="C44" s="6" t="s">
        <v>1206</v>
      </c>
      <c r="D44" s="4"/>
      <c r="E44" s="4"/>
      <c r="F44" s="4"/>
    </row>
    <row r="45" ht="72.0" customHeight="1">
      <c r="A45" s="9" t="s">
        <v>1201</v>
      </c>
      <c r="B45" s="38">
        <v>46296.0</v>
      </c>
      <c r="C45" s="6" t="s">
        <v>1207</v>
      </c>
      <c r="D45" s="4"/>
      <c r="E45" s="4"/>
      <c r="F45" s="4"/>
    </row>
    <row r="46" ht="72.0" customHeight="1">
      <c r="A46" s="9" t="s">
        <v>1201</v>
      </c>
      <c r="B46" s="38">
        <v>46296.0</v>
      </c>
      <c r="C46" s="6" t="s">
        <v>1208</v>
      </c>
      <c r="D46" s="4"/>
      <c r="E46" s="4"/>
      <c r="F46" s="4"/>
    </row>
    <row r="47" ht="72.0" customHeight="1">
      <c r="A47" s="9" t="s">
        <v>1201</v>
      </c>
      <c r="B47" s="38">
        <v>46296.0</v>
      </c>
      <c r="C47" s="6" t="s">
        <v>1209</v>
      </c>
      <c r="D47" s="4"/>
      <c r="E47" s="4"/>
      <c r="F47" s="4"/>
    </row>
    <row r="48" ht="72.0" customHeight="1">
      <c r="A48" s="9" t="s">
        <v>1201</v>
      </c>
      <c r="B48" s="38">
        <v>46296.0</v>
      </c>
      <c r="C48" s="6" t="s">
        <v>1210</v>
      </c>
      <c r="D48" s="4"/>
      <c r="E48" s="4"/>
      <c r="F48" s="4"/>
    </row>
    <row r="49" ht="87.0" customHeight="1">
      <c r="A49" s="9" t="s">
        <v>1211</v>
      </c>
      <c r="B49" s="38">
        <v>46296.0</v>
      </c>
      <c r="C49" s="6" t="s">
        <v>1212</v>
      </c>
      <c r="D49" s="4"/>
      <c r="E49" s="4"/>
      <c r="F49" s="4"/>
    </row>
    <row r="50" ht="147.0" customHeight="1">
      <c r="A50" s="9" t="s">
        <v>1211</v>
      </c>
      <c r="B50" s="38">
        <v>46296.0</v>
      </c>
      <c r="C50" s="9" t="s">
        <v>1213</v>
      </c>
      <c r="D50" s="4"/>
      <c r="E50" s="4"/>
      <c r="F50" s="4"/>
    </row>
    <row r="51" ht="42.0" customHeight="1">
      <c r="A51" s="9" t="s">
        <v>1211</v>
      </c>
      <c r="B51" s="38">
        <v>46296.0</v>
      </c>
      <c r="C51" s="6" t="s">
        <v>1214</v>
      </c>
      <c r="D51" s="4"/>
      <c r="E51" s="4"/>
      <c r="F51" s="4"/>
    </row>
    <row r="52" ht="30.0" customHeight="1">
      <c r="A52" s="9" t="s">
        <v>1211</v>
      </c>
      <c r="B52" s="38">
        <v>46296.0</v>
      </c>
      <c r="C52" s="6" t="s">
        <v>1215</v>
      </c>
      <c r="D52" s="4"/>
      <c r="E52" s="4"/>
      <c r="F52" s="4"/>
    </row>
    <row r="53" ht="42.0" customHeight="1">
      <c r="A53" s="9" t="s">
        <v>1211</v>
      </c>
      <c r="B53" s="38">
        <v>46296.0</v>
      </c>
      <c r="C53" s="6" t="s">
        <v>1216</v>
      </c>
      <c r="D53" s="4"/>
      <c r="E53" s="4"/>
      <c r="F53" s="4"/>
    </row>
    <row r="54" ht="57.0" customHeight="1">
      <c r="A54" s="9" t="s">
        <v>1211</v>
      </c>
      <c r="B54" s="38">
        <v>46296.0</v>
      </c>
      <c r="C54" s="6" t="s">
        <v>1217</v>
      </c>
      <c r="D54" s="4"/>
      <c r="E54" s="4"/>
      <c r="F54" s="4"/>
    </row>
    <row r="55" ht="42.0" customHeight="1">
      <c r="A55" s="9" t="s">
        <v>1211</v>
      </c>
      <c r="B55" s="38">
        <v>46296.0</v>
      </c>
      <c r="C55" s="6" t="s">
        <v>1218</v>
      </c>
      <c r="D55" s="4"/>
      <c r="E55" s="4"/>
      <c r="F55" s="4"/>
    </row>
    <row r="56" ht="57.0" customHeight="1">
      <c r="A56" s="9" t="s">
        <v>1211</v>
      </c>
      <c r="B56" s="38">
        <v>46296.0</v>
      </c>
      <c r="C56" s="6" t="s">
        <v>1219</v>
      </c>
      <c r="D56" s="4"/>
      <c r="E56" s="4"/>
      <c r="F56" s="4"/>
    </row>
    <row r="57" ht="57.0" customHeight="1">
      <c r="A57" s="9" t="s">
        <v>1211</v>
      </c>
      <c r="B57" s="38">
        <v>46296.0</v>
      </c>
      <c r="C57" s="6" t="s">
        <v>1220</v>
      </c>
      <c r="D57" s="4"/>
      <c r="E57" s="4"/>
      <c r="F57" s="4"/>
    </row>
    <row r="58" ht="57.0" customHeight="1">
      <c r="A58" s="9" t="s">
        <v>1211</v>
      </c>
      <c r="B58" s="38">
        <v>46296.0</v>
      </c>
      <c r="C58" s="6" t="s">
        <v>1221</v>
      </c>
      <c r="D58" s="4"/>
      <c r="E58" s="4"/>
      <c r="F58" s="4"/>
    </row>
    <row r="59" ht="57.0" customHeight="1">
      <c r="A59" s="9" t="s">
        <v>1211</v>
      </c>
      <c r="B59" s="38">
        <v>46296.0</v>
      </c>
      <c r="C59" s="6" t="s">
        <v>1222</v>
      </c>
      <c r="D59" s="4"/>
      <c r="E59" s="4"/>
      <c r="F59" s="4"/>
    </row>
    <row r="60" ht="42.0" customHeight="1">
      <c r="A60" s="9" t="s">
        <v>1211</v>
      </c>
      <c r="B60" s="38">
        <v>46296.0</v>
      </c>
      <c r="C60" s="6" t="s">
        <v>1223</v>
      </c>
      <c r="D60" s="4"/>
      <c r="E60" s="4"/>
      <c r="F60" s="4"/>
    </row>
    <row r="61" ht="57.0" customHeight="1">
      <c r="A61" s="9" t="s">
        <v>1211</v>
      </c>
      <c r="B61" s="38">
        <v>46296.0</v>
      </c>
      <c r="C61" s="6" t="s">
        <v>1224</v>
      </c>
      <c r="D61" s="4"/>
      <c r="E61" s="4"/>
      <c r="F61" s="4"/>
    </row>
    <row r="62" ht="57.0" customHeight="1">
      <c r="A62" s="9" t="s">
        <v>1211</v>
      </c>
      <c r="B62" s="38">
        <v>46296.0</v>
      </c>
      <c r="C62" s="6" t="s">
        <v>1225</v>
      </c>
      <c r="D62" s="4"/>
      <c r="E62" s="4"/>
      <c r="F62" s="4"/>
    </row>
    <row r="63" ht="57.0" customHeight="1">
      <c r="A63" s="9" t="s">
        <v>1211</v>
      </c>
      <c r="B63" s="38">
        <v>46296.0</v>
      </c>
      <c r="C63" s="9" t="s">
        <v>1226</v>
      </c>
      <c r="D63" s="4"/>
      <c r="E63" s="4"/>
      <c r="F63" s="4"/>
    </row>
    <row r="64" ht="42.0" customHeight="1">
      <c r="A64" s="9" t="s">
        <v>1211</v>
      </c>
      <c r="B64" s="38">
        <v>46296.0</v>
      </c>
      <c r="C64" s="9" t="s">
        <v>1227</v>
      </c>
      <c r="D64" s="4"/>
      <c r="E64" s="4"/>
      <c r="F64" s="4"/>
    </row>
    <row r="65" ht="57.0" customHeight="1">
      <c r="A65" s="21" t="s">
        <v>1211</v>
      </c>
      <c r="B65" s="39">
        <v>46296.0</v>
      </c>
      <c r="C65" s="21" t="s">
        <v>1228</v>
      </c>
      <c r="D65" s="4"/>
      <c r="E65" s="4"/>
      <c r="F65" s="4"/>
    </row>
    <row r="66" ht="57.0" customHeight="1">
      <c r="A66" s="21" t="s">
        <v>1211</v>
      </c>
      <c r="B66" s="39">
        <v>46296.0</v>
      </c>
      <c r="C66" s="21" t="s">
        <v>1229</v>
      </c>
      <c r="D66" s="4"/>
      <c r="E66" s="4"/>
      <c r="F66" s="4"/>
    </row>
    <row r="67" ht="72.0" customHeight="1">
      <c r="A67" s="21" t="s">
        <v>1211</v>
      </c>
      <c r="B67" s="39">
        <v>46296.0</v>
      </c>
      <c r="C67" s="21" t="s">
        <v>1230</v>
      </c>
      <c r="D67" s="4"/>
      <c r="E67" s="4"/>
      <c r="F67" s="4"/>
    </row>
    <row r="68" ht="57.0" customHeight="1">
      <c r="A68" s="21" t="s">
        <v>1231</v>
      </c>
      <c r="B68" s="39">
        <v>46295.0</v>
      </c>
      <c r="C68" s="21" t="s">
        <v>1232</v>
      </c>
      <c r="D68" s="4"/>
      <c r="E68" s="4"/>
      <c r="F68" s="4"/>
    </row>
    <row r="69" ht="42.0" customHeight="1">
      <c r="A69" s="21" t="s">
        <v>1231</v>
      </c>
      <c r="B69" s="39">
        <v>46295.0</v>
      </c>
      <c r="C69" s="21" t="s">
        <v>1233</v>
      </c>
      <c r="D69" s="4"/>
      <c r="E69" s="4"/>
      <c r="F69" s="4"/>
    </row>
    <row r="70" ht="72.0" customHeight="1">
      <c r="A70" s="21" t="s">
        <v>1231</v>
      </c>
      <c r="B70" s="39">
        <v>46295.0</v>
      </c>
      <c r="C70" s="21" t="s">
        <v>1234</v>
      </c>
      <c r="D70" s="4"/>
      <c r="E70" s="4"/>
      <c r="F70" s="4"/>
    </row>
    <row r="71" ht="72.0" customHeight="1">
      <c r="A71" s="21" t="s">
        <v>1231</v>
      </c>
      <c r="B71" s="39">
        <v>46295.0</v>
      </c>
      <c r="C71" s="21" t="s">
        <v>1235</v>
      </c>
      <c r="D71" s="4"/>
      <c r="E71" s="4"/>
      <c r="F71" s="4"/>
    </row>
    <row r="72" ht="42.0" customHeight="1">
      <c r="A72" s="21" t="s">
        <v>1231</v>
      </c>
      <c r="B72" s="39">
        <v>46295.0</v>
      </c>
      <c r="C72" s="21" t="s">
        <v>1236</v>
      </c>
      <c r="D72" s="4"/>
      <c r="E72" s="4"/>
      <c r="F72" s="4"/>
    </row>
    <row r="73" ht="42.0" customHeight="1">
      <c r="A73" s="21" t="s">
        <v>1231</v>
      </c>
      <c r="B73" s="39">
        <v>46295.0</v>
      </c>
      <c r="C73" s="21" t="s">
        <v>1237</v>
      </c>
      <c r="D73" s="4"/>
      <c r="E73" s="4"/>
      <c r="F73" s="4"/>
    </row>
    <row r="74" ht="42.0" customHeight="1">
      <c r="A74" s="21" t="s">
        <v>1231</v>
      </c>
      <c r="B74" s="39">
        <v>46295.0</v>
      </c>
      <c r="C74" s="21" t="s">
        <v>1238</v>
      </c>
      <c r="D74" s="4"/>
      <c r="E74" s="4"/>
      <c r="F74" s="4"/>
    </row>
    <row r="75" ht="42.0" customHeight="1">
      <c r="A75" s="21" t="s">
        <v>1231</v>
      </c>
      <c r="B75" s="39">
        <v>46295.0</v>
      </c>
      <c r="C75" s="21" t="s">
        <v>1239</v>
      </c>
      <c r="D75" s="4"/>
      <c r="E75" s="4"/>
      <c r="F75" s="4"/>
    </row>
    <row r="76" ht="30.0" customHeight="1">
      <c r="A76" s="21" t="s">
        <v>1231</v>
      </c>
      <c r="B76" s="39">
        <v>46295.0</v>
      </c>
      <c r="C76" s="21" t="s">
        <v>1240</v>
      </c>
      <c r="D76" s="4"/>
      <c r="E76" s="4"/>
      <c r="F76" s="4"/>
    </row>
    <row r="77" ht="30.0" customHeight="1">
      <c r="A77" s="21" t="s">
        <v>1231</v>
      </c>
      <c r="B77" s="39">
        <v>46295.0</v>
      </c>
      <c r="C77" s="21" t="s">
        <v>1241</v>
      </c>
      <c r="D77" s="4"/>
      <c r="E77" s="4"/>
      <c r="F77" s="4"/>
    </row>
    <row r="78" ht="30.0" customHeight="1">
      <c r="A78" s="21" t="s">
        <v>1231</v>
      </c>
      <c r="B78" s="39">
        <v>46295.0</v>
      </c>
      <c r="C78" s="21" t="s">
        <v>1242</v>
      </c>
      <c r="D78" s="4"/>
      <c r="E78" s="4"/>
      <c r="F78" s="4"/>
    </row>
    <row r="79" ht="42.0" customHeight="1">
      <c r="A79" s="21" t="s">
        <v>1231</v>
      </c>
      <c r="B79" s="39">
        <v>46295.0</v>
      </c>
      <c r="C79" s="21" t="s">
        <v>1243</v>
      </c>
      <c r="D79" s="4"/>
      <c r="E79" s="4"/>
      <c r="F79" s="4"/>
    </row>
    <row r="80" ht="42.0" customHeight="1">
      <c r="A80" s="21" t="s">
        <v>1231</v>
      </c>
      <c r="B80" s="39">
        <v>46295.0</v>
      </c>
      <c r="C80" s="21" t="s">
        <v>1244</v>
      </c>
      <c r="D80" s="4"/>
      <c r="E80" s="4"/>
      <c r="F80" s="4"/>
    </row>
    <row r="81" ht="42.0" customHeight="1">
      <c r="A81" s="21" t="s">
        <v>1231</v>
      </c>
      <c r="B81" s="39">
        <v>46295.0</v>
      </c>
      <c r="C81" s="21" t="s">
        <v>1245</v>
      </c>
      <c r="D81" s="4"/>
      <c r="E81" s="4"/>
      <c r="F81" s="4"/>
    </row>
    <row r="82" ht="30.0" customHeight="1">
      <c r="A82" s="21" t="s">
        <v>1231</v>
      </c>
      <c r="B82" s="39">
        <v>46295.0</v>
      </c>
      <c r="C82" s="21" t="s">
        <v>1246</v>
      </c>
      <c r="D82" s="4"/>
      <c r="E82" s="4"/>
      <c r="F82" s="4"/>
    </row>
    <row r="83" ht="30.0" customHeight="1">
      <c r="A83" s="21" t="s">
        <v>1231</v>
      </c>
      <c r="B83" s="39">
        <v>46295.0</v>
      </c>
      <c r="C83" s="21" t="s">
        <v>1247</v>
      </c>
      <c r="D83" s="4"/>
      <c r="E83" s="4"/>
      <c r="F83" s="4"/>
    </row>
    <row r="84" ht="30.0" customHeight="1">
      <c r="A84" s="21" t="s">
        <v>1231</v>
      </c>
      <c r="B84" s="39">
        <v>46295.0</v>
      </c>
      <c r="C84" s="21" t="s">
        <v>1248</v>
      </c>
      <c r="D84" s="4"/>
      <c r="E84" s="4"/>
      <c r="F84" s="4"/>
    </row>
    <row r="85" ht="30.0" customHeight="1">
      <c r="A85" s="21" t="s">
        <v>1249</v>
      </c>
      <c r="B85" s="39">
        <v>46295.0</v>
      </c>
      <c r="C85" s="21" t="s">
        <v>1250</v>
      </c>
      <c r="D85" s="4"/>
      <c r="E85" s="4"/>
      <c r="F85" s="4"/>
    </row>
    <row r="86" ht="42.0" customHeight="1">
      <c r="A86" s="21" t="s">
        <v>1249</v>
      </c>
      <c r="B86" s="39">
        <v>46295.0</v>
      </c>
      <c r="C86" s="21" t="s">
        <v>1251</v>
      </c>
      <c r="D86" s="4"/>
      <c r="E86" s="4"/>
      <c r="F86" s="4"/>
    </row>
    <row r="87" ht="30.0" customHeight="1">
      <c r="A87" s="21" t="s">
        <v>1249</v>
      </c>
      <c r="B87" s="39">
        <v>46295.0</v>
      </c>
      <c r="C87" s="21" t="s">
        <v>1252</v>
      </c>
      <c r="D87" s="4"/>
      <c r="E87" s="4"/>
      <c r="F87" s="4"/>
    </row>
    <row r="88" ht="30.0" customHeight="1">
      <c r="A88" s="21" t="s">
        <v>1249</v>
      </c>
      <c r="B88" s="39">
        <v>46295.0</v>
      </c>
      <c r="C88" s="21" t="s">
        <v>1253</v>
      </c>
      <c r="D88" s="4"/>
      <c r="E88" s="4"/>
      <c r="F88" s="4"/>
    </row>
    <row r="89" ht="42.0" customHeight="1">
      <c r="A89" s="21" t="s">
        <v>1249</v>
      </c>
      <c r="B89" s="39">
        <v>46295.0</v>
      </c>
      <c r="C89" s="21" t="s">
        <v>1254</v>
      </c>
      <c r="D89" s="4"/>
      <c r="E89" s="4"/>
      <c r="F89" s="4"/>
    </row>
    <row r="90" ht="30.0" customHeight="1">
      <c r="A90" s="21" t="s">
        <v>1249</v>
      </c>
      <c r="B90" s="39">
        <v>46295.0</v>
      </c>
      <c r="C90" s="21" t="s">
        <v>1255</v>
      </c>
      <c r="D90" s="4"/>
      <c r="E90" s="4"/>
      <c r="F90" s="4"/>
    </row>
    <row r="91" ht="30.0" customHeight="1">
      <c r="A91" s="21" t="s">
        <v>1249</v>
      </c>
      <c r="B91" s="39">
        <v>46295.0</v>
      </c>
      <c r="C91" s="21" t="s">
        <v>1256</v>
      </c>
      <c r="D91" s="4"/>
      <c r="E91" s="4"/>
      <c r="F91" s="4"/>
    </row>
    <row r="92" ht="30.0" customHeight="1">
      <c r="A92" s="21" t="s">
        <v>1249</v>
      </c>
      <c r="B92" s="39">
        <v>46295.0</v>
      </c>
      <c r="C92" s="21" t="s">
        <v>1257</v>
      </c>
      <c r="D92" s="4"/>
      <c r="E92" s="4"/>
      <c r="F92" s="4"/>
    </row>
    <row r="93" ht="30.0" customHeight="1">
      <c r="A93" s="21" t="s">
        <v>1249</v>
      </c>
      <c r="B93" s="39">
        <v>46295.0</v>
      </c>
      <c r="C93" s="21" t="s">
        <v>1258</v>
      </c>
      <c r="D93" s="4"/>
      <c r="E93" s="4"/>
      <c r="F93" s="4"/>
    </row>
    <row r="94" ht="30.0" customHeight="1">
      <c r="A94" s="21" t="s">
        <v>1259</v>
      </c>
      <c r="B94" s="39">
        <v>46294.0</v>
      </c>
      <c r="C94" s="21" t="s">
        <v>1260</v>
      </c>
      <c r="D94" s="4"/>
      <c r="E94" s="4"/>
      <c r="F94" s="4"/>
    </row>
    <row r="95" ht="30.0" customHeight="1">
      <c r="A95" s="21" t="s">
        <v>1261</v>
      </c>
      <c r="B95" s="39">
        <v>46294.0</v>
      </c>
      <c r="C95" s="21" t="s">
        <v>1262</v>
      </c>
      <c r="D95" s="4"/>
      <c r="E95" s="4"/>
      <c r="F95" s="4"/>
    </row>
    <row r="96" ht="30.0" customHeight="1">
      <c r="A96" s="21" t="s">
        <v>1263</v>
      </c>
      <c r="B96" s="39" t="s">
        <v>137</v>
      </c>
      <c r="C96" s="21" t="s">
        <v>1264</v>
      </c>
      <c r="D96" s="4"/>
      <c r="E96" s="4"/>
      <c r="F96" s="4"/>
    </row>
    <row r="97" ht="15.75" customHeight="1">
      <c r="A97" s="4"/>
      <c r="B97" s="4"/>
      <c r="C97" s="4"/>
      <c r="D97" s="4"/>
      <c r="E97" s="4"/>
      <c r="F97" s="4"/>
    </row>
    <row r="98" ht="15.75" customHeight="1">
      <c r="A98" s="4"/>
      <c r="B98" s="4"/>
      <c r="C98" s="4"/>
      <c r="D98" s="4"/>
      <c r="E98" s="4"/>
      <c r="F98" s="4"/>
    </row>
    <row r="99" ht="15.75" customHeight="1">
      <c r="A99" s="4"/>
      <c r="B99" s="4"/>
      <c r="C99" s="4"/>
      <c r="D99" s="4"/>
      <c r="E99" s="4"/>
      <c r="F99" s="4"/>
    </row>
    <row r="100" ht="15.75" customHeight="1">
      <c r="A100" s="4"/>
      <c r="B100" s="4"/>
      <c r="C100" s="4"/>
      <c r="D100" s="4"/>
      <c r="E100" s="4"/>
      <c r="F100" s="4"/>
    </row>
    <row r="101" ht="15.75" customHeight="1">
      <c r="A101" s="4"/>
      <c r="B101" s="4"/>
      <c r="C101" s="4"/>
      <c r="D101" s="4"/>
      <c r="E101" s="4"/>
      <c r="F101" s="4"/>
    </row>
    <row r="102" ht="15.75" customHeight="1">
      <c r="A102" s="4"/>
      <c r="B102" s="4"/>
      <c r="C102" s="4"/>
      <c r="D102" s="4"/>
      <c r="E102" s="4"/>
      <c r="F102" s="4"/>
    </row>
    <row r="103" ht="15.75" customHeight="1">
      <c r="A103" s="4"/>
      <c r="B103" s="4"/>
      <c r="C103" s="4"/>
      <c r="D103" s="4"/>
      <c r="E103" s="4"/>
      <c r="F103" s="4"/>
    </row>
    <row r="104" ht="15.75" customHeight="1">
      <c r="A104" s="4"/>
      <c r="B104" s="4"/>
      <c r="C104" s="4"/>
      <c r="D104" s="4"/>
      <c r="E104" s="4"/>
      <c r="F104" s="4"/>
    </row>
    <row r="105" ht="15.75" customHeight="1">
      <c r="A105" s="4"/>
      <c r="B105" s="4"/>
      <c r="C105" s="4"/>
      <c r="D105" s="4"/>
      <c r="E105" s="4"/>
      <c r="F105" s="4"/>
    </row>
    <row r="106" ht="15.75" customHeight="1">
      <c r="A106" s="4"/>
      <c r="B106" s="4"/>
      <c r="C106" s="4"/>
      <c r="D106" s="4"/>
      <c r="E106" s="4"/>
      <c r="F106" s="4"/>
    </row>
    <row r="107" ht="15.75" customHeight="1">
      <c r="A107" s="4"/>
      <c r="B107" s="4"/>
      <c r="C107" s="4"/>
      <c r="D107" s="4"/>
      <c r="E107" s="4"/>
      <c r="F107" s="4"/>
    </row>
    <row r="108" ht="15.75" customHeight="1">
      <c r="A108" s="4"/>
      <c r="B108" s="4"/>
      <c r="C108" s="4"/>
      <c r="D108" s="4"/>
      <c r="E108" s="4"/>
      <c r="F108" s="4"/>
    </row>
    <row r="109" ht="15.75" customHeight="1">
      <c r="A109" s="4"/>
      <c r="B109" s="4"/>
      <c r="C109" s="4"/>
      <c r="D109" s="4"/>
      <c r="E109" s="4"/>
      <c r="F109" s="4"/>
    </row>
    <row r="110" ht="15.75" customHeight="1">
      <c r="A110" s="4"/>
      <c r="B110" s="4"/>
      <c r="C110" s="4"/>
      <c r="D110" s="4"/>
      <c r="E110" s="4"/>
      <c r="F110" s="4"/>
    </row>
    <row r="111" ht="15.75" customHeight="1">
      <c r="A111" s="4"/>
      <c r="B111" s="4"/>
      <c r="C111" s="4"/>
      <c r="D111" s="4"/>
      <c r="E111" s="4"/>
      <c r="F111" s="4"/>
    </row>
    <row r="112" ht="15.75" customHeight="1">
      <c r="A112" s="4"/>
      <c r="B112" s="4"/>
      <c r="C112" s="4"/>
      <c r="D112" s="4"/>
      <c r="E112" s="4"/>
      <c r="F112" s="4"/>
    </row>
    <row r="113" ht="15.75" customHeight="1">
      <c r="A113" s="4"/>
      <c r="B113" s="4"/>
      <c r="C113" s="4"/>
      <c r="D113" s="4"/>
      <c r="E113" s="4"/>
      <c r="F113" s="4"/>
    </row>
    <row r="114" ht="15.75" customHeight="1">
      <c r="A114" s="4"/>
      <c r="B114" s="4"/>
      <c r="C114" s="4"/>
      <c r="D114" s="4"/>
      <c r="E114" s="4"/>
      <c r="F114" s="4"/>
    </row>
    <row r="115" ht="15.75" customHeight="1">
      <c r="A115" s="4"/>
      <c r="B115" s="4"/>
      <c r="C115" s="4"/>
      <c r="D115" s="4"/>
      <c r="E115" s="4"/>
      <c r="F115" s="4"/>
    </row>
    <row r="116" ht="15.75" customHeight="1">
      <c r="A116" s="4"/>
      <c r="B116" s="4"/>
      <c r="C116" s="4"/>
      <c r="D116" s="4"/>
      <c r="E116" s="4"/>
      <c r="F116" s="4"/>
    </row>
    <row r="117" ht="15.75" customHeight="1">
      <c r="A117" s="4"/>
      <c r="B117" s="4"/>
      <c r="C117" s="4"/>
      <c r="D117" s="4"/>
      <c r="E117" s="4"/>
      <c r="F117" s="4"/>
    </row>
    <row r="118" ht="15.75" customHeight="1">
      <c r="A118" s="4"/>
      <c r="B118" s="4"/>
      <c r="C118" s="4"/>
      <c r="D118" s="4"/>
      <c r="E118" s="4"/>
      <c r="F118" s="4"/>
    </row>
    <row r="119" ht="15.75" customHeight="1">
      <c r="A119" s="4"/>
      <c r="B119" s="4"/>
      <c r="C119" s="4"/>
      <c r="D119" s="4"/>
      <c r="E119" s="4"/>
      <c r="F119" s="4"/>
    </row>
    <row r="120" ht="15.75" customHeight="1">
      <c r="A120" s="4"/>
      <c r="B120" s="4"/>
      <c r="C120" s="4"/>
      <c r="D120" s="4"/>
      <c r="E120" s="4"/>
      <c r="F120" s="4"/>
    </row>
    <row r="121" ht="15.75" customHeight="1">
      <c r="A121" s="4"/>
      <c r="B121" s="4"/>
      <c r="C121" s="4"/>
      <c r="D121" s="4"/>
      <c r="E121" s="4"/>
      <c r="F121" s="4"/>
    </row>
    <row r="122" ht="15.75" customHeight="1">
      <c r="A122" s="4"/>
      <c r="B122" s="4"/>
      <c r="C122" s="4"/>
      <c r="D122" s="4"/>
      <c r="E122" s="4"/>
      <c r="F122" s="4"/>
    </row>
    <row r="123" ht="15.75" customHeight="1">
      <c r="A123" s="4"/>
      <c r="B123" s="4"/>
      <c r="C123" s="4"/>
      <c r="D123" s="4"/>
      <c r="E123" s="4"/>
      <c r="F123" s="4"/>
    </row>
    <row r="124" ht="15.75" customHeight="1">
      <c r="A124" s="4"/>
      <c r="B124" s="4"/>
      <c r="C124" s="4"/>
      <c r="D124" s="4"/>
      <c r="E124" s="4"/>
      <c r="F124" s="4"/>
    </row>
    <row r="125" ht="15.75" customHeight="1">
      <c r="A125" s="4"/>
      <c r="B125" s="4"/>
      <c r="C125" s="4"/>
      <c r="D125" s="4"/>
      <c r="E125" s="4"/>
      <c r="F125" s="4"/>
    </row>
    <row r="126" ht="15.75" customHeight="1">
      <c r="A126" s="4"/>
      <c r="B126" s="4"/>
      <c r="C126" s="4"/>
      <c r="D126" s="4"/>
      <c r="E126" s="4"/>
      <c r="F126" s="4"/>
    </row>
    <row r="127" ht="15.75" customHeight="1">
      <c r="A127" s="4"/>
      <c r="B127" s="4"/>
      <c r="C127" s="4"/>
      <c r="D127" s="4"/>
      <c r="E127" s="4"/>
      <c r="F127" s="4"/>
    </row>
    <row r="128" ht="15.75" customHeight="1">
      <c r="A128" s="4"/>
      <c r="B128" s="4"/>
      <c r="C128" s="4"/>
      <c r="D128" s="4"/>
      <c r="E128" s="4"/>
      <c r="F128" s="4"/>
    </row>
    <row r="129" ht="15.75" customHeight="1">
      <c r="A129" s="4"/>
      <c r="B129" s="4"/>
      <c r="C129" s="4"/>
      <c r="D129" s="4"/>
      <c r="E129" s="4"/>
      <c r="F129" s="4"/>
    </row>
    <row r="130" ht="15.75" customHeight="1">
      <c r="A130" s="4"/>
      <c r="B130" s="4"/>
      <c r="C130" s="4"/>
      <c r="D130" s="4"/>
      <c r="E130" s="4"/>
      <c r="F130" s="4"/>
    </row>
    <row r="131" ht="15.75" customHeight="1">
      <c r="A131" s="4"/>
      <c r="B131" s="4"/>
      <c r="C131" s="4"/>
      <c r="D131" s="4"/>
      <c r="E131" s="4"/>
      <c r="F131" s="4"/>
    </row>
    <row r="132" ht="15.75" customHeight="1">
      <c r="A132" s="4"/>
      <c r="B132" s="4"/>
      <c r="C132" s="4"/>
      <c r="D132" s="4"/>
      <c r="E132" s="4"/>
      <c r="F132" s="4"/>
    </row>
    <row r="133" ht="15.75" customHeight="1">
      <c r="A133" s="4"/>
      <c r="B133" s="4"/>
      <c r="C133" s="4"/>
      <c r="D133" s="4"/>
      <c r="E133" s="4"/>
      <c r="F133" s="4"/>
    </row>
    <row r="134" ht="15.75" customHeight="1">
      <c r="A134" s="4"/>
      <c r="B134" s="4"/>
      <c r="C134" s="4"/>
      <c r="D134" s="4"/>
      <c r="E134" s="4"/>
      <c r="F134" s="4"/>
    </row>
    <row r="135" ht="15.75" customHeight="1">
      <c r="A135" s="4"/>
      <c r="B135" s="4"/>
      <c r="C135" s="4"/>
      <c r="D135" s="4"/>
      <c r="E135" s="4"/>
      <c r="F135" s="4"/>
    </row>
    <row r="136" ht="15.75" customHeight="1">
      <c r="A136" s="4"/>
      <c r="B136" s="4"/>
      <c r="C136" s="4"/>
      <c r="D136" s="4"/>
      <c r="E136" s="4"/>
      <c r="F136" s="4"/>
    </row>
    <row r="137" ht="15.75" customHeight="1">
      <c r="A137" s="4"/>
      <c r="B137" s="4"/>
      <c r="C137" s="4"/>
      <c r="D137" s="4"/>
      <c r="E137" s="4"/>
      <c r="F137" s="4"/>
    </row>
    <row r="138" ht="15.75" customHeight="1">
      <c r="A138" s="4"/>
      <c r="B138" s="4"/>
      <c r="C138" s="4"/>
      <c r="D138" s="4"/>
      <c r="E138" s="4"/>
      <c r="F138" s="4"/>
    </row>
    <row r="139" ht="15.75" customHeight="1">
      <c r="A139" s="4"/>
      <c r="B139" s="4"/>
      <c r="C139" s="4"/>
      <c r="D139" s="4"/>
      <c r="E139" s="4"/>
      <c r="F139" s="4"/>
    </row>
    <row r="140" ht="15.75" customHeight="1">
      <c r="A140" s="4"/>
      <c r="B140" s="4"/>
      <c r="C140" s="4"/>
      <c r="D140" s="4"/>
      <c r="E140" s="4"/>
      <c r="F140" s="4"/>
    </row>
    <row r="141" ht="15.75" customHeight="1">
      <c r="A141" s="4"/>
      <c r="B141" s="4"/>
      <c r="C141" s="4"/>
      <c r="D141" s="4"/>
      <c r="E141" s="4"/>
      <c r="F141" s="4"/>
    </row>
    <row r="142" ht="15.75" customHeight="1">
      <c r="A142" s="4"/>
      <c r="B142" s="4"/>
      <c r="C142" s="4"/>
      <c r="D142" s="4"/>
      <c r="E142" s="4"/>
      <c r="F142" s="4"/>
    </row>
    <row r="143" ht="15.75" customHeight="1">
      <c r="A143" s="4"/>
      <c r="B143" s="4"/>
      <c r="C143" s="4"/>
      <c r="D143" s="4"/>
      <c r="E143" s="4"/>
      <c r="F143" s="4"/>
    </row>
    <row r="144" ht="15.75" customHeight="1">
      <c r="A144" s="4"/>
      <c r="B144" s="4"/>
      <c r="C144" s="4"/>
      <c r="D144" s="4"/>
      <c r="E144" s="4"/>
      <c r="F144" s="4"/>
    </row>
    <row r="145" ht="15.75" customHeight="1">
      <c r="A145" s="4"/>
      <c r="B145" s="4"/>
      <c r="C145" s="4"/>
      <c r="D145" s="4"/>
      <c r="E145" s="4"/>
      <c r="F145" s="4"/>
    </row>
    <row r="146" ht="15.75" customHeight="1">
      <c r="A146" s="4"/>
      <c r="B146" s="4"/>
      <c r="C146" s="4"/>
      <c r="D146" s="4"/>
      <c r="E146" s="4"/>
      <c r="F146" s="4"/>
    </row>
    <row r="147" ht="15.75" customHeight="1">
      <c r="A147" s="4"/>
      <c r="B147" s="4"/>
      <c r="C147" s="4"/>
      <c r="D147" s="4"/>
      <c r="E147" s="4"/>
      <c r="F147" s="4"/>
    </row>
    <row r="148" ht="15.75" customHeight="1">
      <c r="A148" s="4"/>
      <c r="B148" s="4"/>
      <c r="C148" s="4"/>
      <c r="D148" s="4"/>
      <c r="E148" s="4"/>
      <c r="F148" s="4"/>
    </row>
    <row r="149" ht="15.75" customHeight="1">
      <c r="A149" s="4"/>
      <c r="B149" s="4"/>
      <c r="C149" s="4"/>
      <c r="D149" s="4"/>
      <c r="E149" s="4"/>
      <c r="F149" s="4"/>
    </row>
    <row r="150" ht="15.75" customHeight="1">
      <c r="A150" s="4"/>
      <c r="B150" s="4"/>
      <c r="C150" s="4"/>
      <c r="D150" s="4"/>
      <c r="E150" s="4"/>
      <c r="F150" s="4"/>
    </row>
    <row r="151" ht="15.75" customHeight="1">
      <c r="A151" s="4"/>
      <c r="B151" s="4"/>
      <c r="C151" s="4"/>
      <c r="D151" s="4"/>
      <c r="E151" s="4"/>
      <c r="F151" s="4"/>
    </row>
    <row r="152" ht="15.75" customHeight="1">
      <c r="A152" s="4"/>
      <c r="B152" s="4"/>
      <c r="C152" s="4"/>
      <c r="D152" s="4"/>
      <c r="E152" s="4"/>
      <c r="F152" s="4"/>
    </row>
    <row r="153" ht="15.75" customHeight="1">
      <c r="A153" s="4"/>
      <c r="B153" s="4"/>
      <c r="C153" s="4"/>
      <c r="D153" s="4"/>
      <c r="E153" s="4"/>
      <c r="F153" s="4"/>
    </row>
    <row r="154" ht="15.75" customHeight="1">
      <c r="A154" s="4"/>
      <c r="B154" s="4"/>
      <c r="C154" s="4"/>
      <c r="D154" s="4"/>
      <c r="E154" s="4"/>
      <c r="F154" s="4"/>
    </row>
    <row r="155" ht="15.75" customHeight="1">
      <c r="A155" s="4"/>
      <c r="B155" s="4"/>
      <c r="C155" s="4"/>
      <c r="D155" s="4"/>
      <c r="E155" s="4"/>
      <c r="F155" s="4"/>
    </row>
    <row r="156" ht="15.75" customHeight="1">
      <c r="A156" s="4"/>
      <c r="B156" s="4"/>
      <c r="C156" s="4"/>
      <c r="D156" s="4"/>
      <c r="E156" s="4"/>
      <c r="F156" s="4"/>
    </row>
    <row r="157" ht="15.75" customHeight="1">
      <c r="A157" s="4"/>
      <c r="B157" s="4"/>
      <c r="C157" s="4"/>
      <c r="D157" s="4"/>
      <c r="E157" s="4"/>
      <c r="F157" s="4"/>
    </row>
    <row r="158" ht="15.75" customHeight="1">
      <c r="A158" s="4"/>
      <c r="B158" s="4"/>
      <c r="C158" s="4"/>
      <c r="D158" s="4"/>
      <c r="E158" s="4"/>
      <c r="F158" s="4"/>
    </row>
    <row r="159" ht="15.75" customHeight="1">
      <c r="A159" s="4"/>
      <c r="B159" s="4"/>
      <c r="C159" s="4"/>
      <c r="D159" s="4"/>
      <c r="E159" s="4"/>
      <c r="F159" s="4"/>
    </row>
    <row r="160" ht="15.75" customHeight="1">
      <c r="A160" s="4"/>
      <c r="B160" s="4"/>
      <c r="C160" s="4"/>
      <c r="D160" s="4"/>
      <c r="E160" s="4"/>
      <c r="F160" s="4"/>
    </row>
    <row r="161" ht="15.75" customHeight="1">
      <c r="A161" s="4"/>
      <c r="B161" s="4"/>
      <c r="C161" s="4"/>
      <c r="D161" s="4"/>
      <c r="E161" s="4"/>
      <c r="F161" s="4"/>
    </row>
    <row r="162" ht="15.75" customHeight="1">
      <c r="A162" s="4"/>
      <c r="B162" s="4"/>
      <c r="C162" s="4"/>
      <c r="D162" s="4"/>
      <c r="E162" s="4"/>
      <c r="F162" s="4"/>
    </row>
    <row r="163" ht="15.75" customHeight="1">
      <c r="A163" s="4"/>
      <c r="B163" s="4"/>
      <c r="C163" s="4"/>
      <c r="D163" s="4"/>
      <c r="E163" s="4"/>
      <c r="F163" s="4"/>
    </row>
    <row r="164" ht="15.75" customHeight="1">
      <c r="A164" s="4"/>
      <c r="B164" s="4"/>
      <c r="C164" s="4"/>
      <c r="D164" s="4"/>
      <c r="E164" s="4"/>
      <c r="F164" s="4"/>
    </row>
    <row r="165" ht="15.75" customHeight="1">
      <c r="A165" s="4"/>
      <c r="B165" s="4"/>
      <c r="C165" s="4"/>
      <c r="D165" s="4"/>
      <c r="E165" s="4"/>
      <c r="F165" s="4"/>
    </row>
    <row r="166" ht="15.75" customHeight="1">
      <c r="A166" s="4"/>
      <c r="B166" s="4"/>
      <c r="C166" s="4"/>
      <c r="D166" s="4"/>
      <c r="E166" s="4"/>
      <c r="F166" s="4"/>
    </row>
    <row r="167" ht="15.75" customHeight="1">
      <c r="A167" s="4"/>
      <c r="B167" s="4"/>
      <c r="C167" s="4"/>
      <c r="D167" s="4"/>
      <c r="E167" s="4"/>
      <c r="F167" s="4"/>
    </row>
    <row r="168" ht="15.75" customHeight="1">
      <c r="A168" s="4"/>
      <c r="B168" s="4"/>
      <c r="C168" s="4"/>
      <c r="D168" s="4"/>
      <c r="E168" s="4"/>
      <c r="F168" s="4"/>
    </row>
    <row r="169" ht="15.75" customHeight="1">
      <c r="A169" s="4"/>
      <c r="B169" s="4"/>
      <c r="C169" s="4"/>
      <c r="D169" s="4"/>
      <c r="E169" s="4"/>
      <c r="F169" s="4"/>
    </row>
    <row r="170" ht="15.75" customHeight="1">
      <c r="A170" s="4"/>
      <c r="B170" s="4"/>
      <c r="C170" s="4"/>
      <c r="D170" s="4"/>
      <c r="E170" s="4"/>
      <c r="F170" s="4"/>
    </row>
    <row r="171" ht="15.75" customHeight="1">
      <c r="A171" s="4"/>
      <c r="B171" s="4"/>
      <c r="C171" s="4"/>
      <c r="D171" s="4"/>
      <c r="E171" s="4"/>
      <c r="F171" s="4"/>
    </row>
    <row r="172" ht="15.75" customHeight="1">
      <c r="A172" s="4"/>
      <c r="B172" s="4"/>
      <c r="C172" s="4"/>
      <c r="D172" s="4"/>
      <c r="E172" s="4"/>
      <c r="F172" s="4"/>
    </row>
    <row r="173" ht="15.75" customHeight="1">
      <c r="A173" s="4"/>
      <c r="B173" s="4"/>
      <c r="C173" s="4"/>
      <c r="D173" s="4"/>
      <c r="E173" s="4"/>
      <c r="F173" s="4"/>
    </row>
    <row r="174" ht="15.75" customHeight="1">
      <c r="A174" s="4"/>
      <c r="B174" s="4"/>
      <c r="C174" s="4"/>
      <c r="D174" s="4"/>
      <c r="E174" s="4"/>
      <c r="F174" s="4"/>
    </row>
    <row r="175" ht="15.75" customHeight="1">
      <c r="A175" s="4"/>
      <c r="B175" s="4"/>
      <c r="C175" s="4"/>
      <c r="D175" s="4"/>
      <c r="E175" s="4"/>
      <c r="F175" s="4"/>
    </row>
    <row r="176" ht="15.75" customHeight="1">
      <c r="A176" s="4"/>
      <c r="B176" s="4"/>
      <c r="C176" s="4"/>
      <c r="D176" s="4"/>
      <c r="E176" s="4"/>
      <c r="F176" s="4"/>
    </row>
    <row r="177" ht="15.75" customHeight="1">
      <c r="A177" s="4"/>
      <c r="B177" s="4"/>
      <c r="C177" s="4"/>
      <c r="D177" s="4"/>
      <c r="E177" s="4"/>
      <c r="F177" s="4"/>
    </row>
    <row r="178" ht="15.75" customHeight="1">
      <c r="A178" s="4"/>
      <c r="B178" s="4"/>
      <c r="C178" s="4"/>
      <c r="D178" s="4"/>
      <c r="E178" s="4"/>
      <c r="F178" s="4"/>
    </row>
    <row r="179" ht="15.75" customHeight="1">
      <c r="A179" s="4"/>
      <c r="B179" s="4"/>
      <c r="C179" s="4"/>
      <c r="D179" s="4"/>
      <c r="E179" s="4"/>
      <c r="F179" s="4"/>
    </row>
    <row r="180" ht="15.75" customHeight="1">
      <c r="A180" s="4"/>
      <c r="B180" s="4"/>
      <c r="C180" s="4"/>
      <c r="D180" s="4"/>
      <c r="E180" s="4"/>
      <c r="F180" s="4"/>
    </row>
    <row r="181" ht="15.75" customHeight="1">
      <c r="A181" s="4"/>
      <c r="B181" s="4"/>
      <c r="C181" s="4"/>
      <c r="D181" s="4"/>
      <c r="E181" s="4"/>
      <c r="F181" s="4"/>
    </row>
    <row r="182" ht="15.75" customHeight="1">
      <c r="A182" s="4"/>
      <c r="B182" s="4"/>
      <c r="C182" s="4"/>
      <c r="D182" s="4"/>
      <c r="E182" s="4"/>
      <c r="F182" s="4"/>
    </row>
    <row r="183" ht="15.75" customHeight="1">
      <c r="A183" s="4"/>
      <c r="B183" s="4"/>
      <c r="C183" s="4"/>
      <c r="D183" s="4"/>
      <c r="E183" s="4"/>
      <c r="F183" s="4"/>
    </row>
    <row r="184" ht="15.75" customHeight="1">
      <c r="A184" s="4"/>
      <c r="B184" s="4"/>
      <c r="C184" s="4"/>
      <c r="D184" s="4"/>
      <c r="E184" s="4"/>
      <c r="F184" s="4"/>
    </row>
    <row r="185" ht="15.75" customHeight="1">
      <c r="A185" s="4"/>
      <c r="B185" s="4"/>
      <c r="C185" s="4"/>
      <c r="D185" s="4"/>
      <c r="E185" s="4"/>
      <c r="F185" s="4"/>
    </row>
    <row r="186" ht="15.75" customHeight="1">
      <c r="A186" s="4"/>
      <c r="B186" s="4"/>
      <c r="C186" s="4"/>
      <c r="D186" s="4"/>
      <c r="E186" s="4"/>
      <c r="F186" s="4"/>
    </row>
    <row r="187" ht="15.75" customHeight="1">
      <c r="A187" s="4"/>
      <c r="B187" s="4"/>
      <c r="C187" s="4"/>
      <c r="D187" s="4"/>
      <c r="E187" s="4"/>
      <c r="F187" s="4"/>
    </row>
    <row r="188" ht="15.75" customHeight="1">
      <c r="A188" s="4"/>
      <c r="B188" s="4"/>
      <c r="C188" s="4"/>
      <c r="D188" s="4"/>
      <c r="E188" s="4"/>
      <c r="F188" s="4"/>
    </row>
    <row r="189" ht="15.75" customHeight="1">
      <c r="A189" s="4"/>
      <c r="B189" s="4"/>
      <c r="C189" s="4"/>
      <c r="D189" s="4"/>
      <c r="E189" s="4"/>
      <c r="F189" s="4"/>
    </row>
    <row r="190" ht="15.75" customHeight="1">
      <c r="A190" s="4"/>
      <c r="B190" s="4"/>
      <c r="C190" s="4"/>
      <c r="D190" s="4"/>
      <c r="E190" s="4"/>
      <c r="F190" s="4"/>
    </row>
    <row r="191" ht="15.75" customHeight="1">
      <c r="A191" s="4"/>
      <c r="B191" s="4"/>
      <c r="C191" s="4"/>
      <c r="D191" s="4"/>
      <c r="E191" s="4"/>
      <c r="F191" s="4"/>
    </row>
    <row r="192" ht="15.75" customHeight="1">
      <c r="A192" s="4"/>
      <c r="B192" s="4"/>
      <c r="C192" s="4"/>
      <c r="D192" s="4"/>
      <c r="E192" s="4"/>
      <c r="F192" s="4"/>
    </row>
    <row r="193" ht="15.75" customHeight="1">
      <c r="A193" s="4"/>
      <c r="B193" s="4"/>
      <c r="C193" s="4"/>
      <c r="D193" s="4"/>
      <c r="E193" s="4"/>
      <c r="F193" s="4"/>
    </row>
    <row r="194" ht="15.75" customHeight="1">
      <c r="A194" s="4"/>
      <c r="B194" s="4"/>
      <c r="C194" s="4"/>
      <c r="D194" s="4"/>
      <c r="E194" s="4"/>
      <c r="F194" s="4"/>
    </row>
    <row r="195" ht="15.75" customHeight="1">
      <c r="A195" s="4"/>
      <c r="B195" s="4"/>
      <c r="C195" s="4"/>
      <c r="D195" s="4"/>
      <c r="E195" s="4"/>
      <c r="F195" s="4"/>
    </row>
    <row r="196" ht="15.75" customHeight="1">
      <c r="A196" s="4"/>
      <c r="B196" s="4"/>
      <c r="C196" s="4"/>
      <c r="D196" s="4"/>
      <c r="E196" s="4"/>
      <c r="F196" s="4"/>
    </row>
    <row r="197" ht="15.75" customHeight="1">
      <c r="A197" s="4"/>
      <c r="B197" s="4"/>
      <c r="C197" s="4"/>
      <c r="D197" s="4"/>
      <c r="E197" s="4"/>
      <c r="F197" s="4"/>
    </row>
    <row r="198" ht="15.75" customHeight="1">
      <c r="A198" s="4"/>
      <c r="B198" s="4"/>
      <c r="C198" s="4"/>
      <c r="D198" s="4"/>
      <c r="E198" s="4"/>
      <c r="F198" s="4"/>
    </row>
    <row r="199" ht="15.75" customHeight="1">
      <c r="A199" s="4"/>
      <c r="B199" s="4"/>
      <c r="C199" s="4"/>
      <c r="D199" s="4"/>
      <c r="E199" s="4"/>
      <c r="F199" s="4"/>
    </row>
    <row r="200" ht="15.75" customHeight="1">
      <c r="A200" s="4"/>
      <c r="B200" s="4"/>
      <c r="C200" s="4"/>
      <c r="D200" s="4"/>
      <c r="E200" s="4"/>
      <c r="F200" s="4"/>
    </row>
    <row r="201" ht="15.75" customHeight="1">
      <c r="A201" s="4"/>
      <c r="B201" s="4"/>
      <c r="C201" s="4"/>
      <c r="D201" s="4"/>
      <c r="E201" s="4"/>
      <c r="F201" s="4"/>
    </row>
    <row r="202" ht="15.75" customHeight="1">
      <c r="A202" s="4"/>
      <c r="B202" s="4"/>
      <c r="C202" s="4"/>
      <c r="D202" s="4"/>
      <c r="E202" s="4"/>
      <c r="F202" s="4"/>
    </row>
    <row r="203" ht="15.75" customHeight="1">
      <c r="A203" s="4"/>
      <c r="B203" s="4"/>
      <c r="C203" s="4"/>
      <c r="D203" s="4"/>
      <c r="E203" s="4"/>
      <c r="F203" s="4"/>
    </row>
    <row r="204" ht="15.75" customHeight="1">
      <c r="A204" s="4"/>
      <c r="B204" s="4"/>
      <c r="C204" s="4"/>
      <c r="D204" s="4"/>
      <c r="E204" s="4"/>
      <c r="F204" s="4"/>
    </row>
    <row r="205" ht="15.75" customHeight="1">
      <c r="A205" s="4"/>
      <c r="B205" s="4"/>
      <c r="C205" s="4"/>
      <c r="D205" s="4"/>
      <c r="E205" s="4"/>
      <c r="F205" s="4"/>
    </row>
    <row r="206" ht="15.75" customHeight="1">
      <c r="A206" s="4"/>
      <c r="B206" s="4"/>
      <c r="C206" s="4"/>
      <c r="D206" s="4"/>
      <c r="E206" s="4"/>
      <c r="F206" s="4"/>
    </row>
    <row r="207" ht="15.75" customHeight="1">
      <c r="A207" s="4"/>
      <c r="B207" s="4"/>
      <c r="C207" s="4"/>
      <c r="D207" s="4"/>
      <c r="E207" s="4"/>
      <c r="F207" s="4"/>
    </row>
    <row r="208" ht="15.75" customHeight="1">
      <c r="A208" s="4"/>
      <c r="B208" s="4"/>
      <c r="C208" s="4"/>
      <c r="D208" s="4"/>
      <c r="E208" s="4"/>
      <c r="F208" s="4"/>
    </row>
    <row r="209" ht="15.75" customHeight="1">
      <c r="A209" s="4"/>
      <c r="B209" s="4"/>
      <c r="C209" s="4"/>
      <c r="D209" s="4"/>
      <c r="E209" s="4"/>
      <c r="F209" s="4"/>
    </row>
    <row r="210" ht="15.75" customHeight="1">
      <c r="A210" s="4"/>
      <c r="B210" s="4"/>
      <c r="C210" s="4"/>
      <c r="D210" s="4"/>
      <c r="E210" s="4"/>
      <c r="F210" s="4"/>
    </row>
    <row r="211" ht="15.75" customHeight="1">
      <c r="A211" s="4"/>
      <c r="B211" s="4"/>
      <c r="C211" s="4"/>
      <c r="D211" s="4"/>
      <c r="E211" s="4"/>
      <c r="F211" s="4"/>
    </row>
    <row r="212" ht="15.75" customHeight="1">
      <c r="A212" s="4"/>
      <c r="B212" s="4"/>
      <c r="C212" s="4"/>
      <c r="D212" s="4"/>
      <c r="E212" s="4"/>
      <c r="F212" s="4"/>
    </row>
    <row r="213" ht="15.75" customHeight="1">
      <c r="A213" s="4"/>
      <c r="B213" s="4"/>
      <c r="C213" s="4"/>
      <c r="D213" s="4"/>
      <c r="E213" s="4"/>
      <c r="F213" s="4"/>
    </row>
    <row r="214" ht="15.75" customHeight="1">
      <c r="A214" s="4"/>
      <c r="B214" s="4"/>
      <c r="C214" s="4"/>
      <c r="D214" s="4"/>
      <c r="E214" s="4"/>
      <c r="F214" s="4"/>
    </row>
    <row r="215" ht="15.75" customHeight="1">
      <c r="A215" s="4"/>
      <c r="B215" s="4"/>
      <c r="C215" s="4"/>
      <c r="D215" s="4"/>
      <c r="E215" s="4"/>
      <c r="F215" s="4"/>
    </row>
    <row r="216" ht="15.75" customHeight="1">
      <c r="A216" s="4"/>
      <c r="B216" s="4"/>
      <c r="C216" s="4"/>
      <c r="D216" s="4"/>
      <c r="E216" s="4"/>
      <c r="F216" s="4"/>
    </row>
    <row r="217" ht="15.75" customHeight="1">
      <c r="A217" s="4"/>
      <c r="B217" s="4"/>
      <c r="C217" s="4"/>
      <c r="D217" s="4"/>
      <c r="E217" s="4"/>
      <c r="F217" s="4"/>
    </row>
    <row r="218" ht="15.75" customHeight="1">
      <c r="A218" s="4"/>
      <c r="B218" s="4"/>
      <c r="C218" s="4"/>
      <c r="D218" s="4"/>
      <c r="E218" s="4"/>
      <c r="F218" s="4"/>
    </row>
    <row r="219" ht="15.75" customHeight="1">
      <c r="A219" s="4"/>
      <c r="B219" s="4"/>
      <c r="C219" s="4"/>
      <c r="D219" s="4"/>
      <c r="E219" s="4"/>
      <c r="F219" s="4"/>
    </row>
    <row r="220" ht="15.75" customHeight="1">
      <c r="A220" s="4"/>
      <c r="B220" s="4"/>
      <c r="C220" s="4"/>
      <c r="D220" s="4"/>
      <c r="E220" s="4"/>
      <c r="F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printOptions/>
  <pageMargins bottom="0.75" footer="0.0" header="0.0" left="0.7" right="0.7" top="0.75"/>
  <pageSetup orientation="landscape"/>
  <drawing r:id="rId1"/>
</worksheet>
</file>